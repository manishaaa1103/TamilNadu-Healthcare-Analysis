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3.xml" ContentType="application/vnd.openxmlformats-officedocument.spreadsheetml.tab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4.xml" ContentType="application/vnd.openxmlformats-officedocument.spreadsheetml.tab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nis\Downloads\"/>
    </mc:Choice>
  </mc:AlternateContent>
  <xr:revisionPtr revIDLastSave="0" documentId="8_{A053395C-7AC3-4299-A12A-7B8C20722A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" sheetId="12" r:id="rId1"/>
    <sheet name="Outpatients" sheetId="1" r:id="rId2"/>
    <sheet name="Outpatient Pivot Chart" sheetId="8" r:id="rId3"/>
    <sheet name="Inpatients" sheetId="2" r:id="rId4"/>
    <sheet name="Inpatient Pivot Chart" sheetId="9" r:id="rId5"/>
    <sheet name="Surgeries" sheetId="3" r:id="rId6"/>
    <sheet name="Surgeries Pivot Chart" sheetId="10" r:id="rId7"/>
    <sheet name="Lab_Investigations" sheetId="4" r:id="rId8"/>
    <sheet name="Lab_Investigations Pivot Chart" sheetId="11" r:id="rId9"/>
  </sheets>
  <calcPr calcId="191029"/>
  <pivotCaches>
    <pivotCache cacheId="0" r:id="rId10"/>
    <pivotCache cacheId="1" r:id="rId11"/>
    <pivotCache cacheId="2" r:id="rId12"/>
    <pivotCache cacheId="3" r:id="rId13"/>
  </pivotCaches>
</workbook>
</file>

<file path=xl/calcChain.xml><?xml version="1.0" encoding="utf-8"?>
<calcChain xmlns="http://schemas.openxmlformats.org/spreadsheetml/2006/main">
  <c r="F4" i="12" l="1"/>
  <c r="B4" i="12"/>
  <c r="H4" i="12"/>
  <c r="D4" i="12"/>
  <c r="I22" i="1"/>
</calcChain>
</file>

<file path=xl/sharedStrings.xml><?xml version="1.0" encoding="utf-8"?>
<sst xmlns="http://schemas.openxmlformats.org/spreadsheetml/2006/main" count="644" uniqueCount="218">
  <si>
    <t>S. No</t>
  </si>
  <si>
    <t>Institution_Name</t>
  </si>
  <si>
    <t>2013</t>
  </si>
  <si>
    <t>2014</t>
  </si>
  <si>
    <t>2015</t>
  </si>
  <si>
    <t>2016</t>
  </si>
  <si>
    <t>2017</t>
  </si>
  <si>
    <t>Total</t>
  </si>
  <si>
    <t>Growth%</t>
  </si>
  <si>
    <t>1</t>
  </si>
  <si>
    <t>Rajiv Gandhi Govt. General Hospital, Chennai 3</t>
  </si>
  <si>
    <t>2</t>
  </si>
  <si>
    <t>Govt Stanley Hospital, Chennai</t>
  </si>
  <si>
    <t>3</t>
  </si>
  <si>
    <t>Govt Kilpauk Medical College Hospital</t>
  </si>
  <si>
    <t>4</t>
  </si>
  <si>
    <t>Chengalpattu Medical College Hospital</t>
  </si>
  <si>
    <t>5</t>
  </si>
  <si>
    <t>Thanjavur Medical College Hospital</t>
  </si>
  <si>
    <t>6</t>
  </si>
  <si>
    <t>Govt. Raja Mirasdar Hospital, Tanjavur</t>
  </si>
  <si>
    <t>7</t>
  </si>
  <si>
    <t>Govt. Rajaji Hospital, Madurai</t>
  </si>
  <si>
    <t>8</t>
  </si>
  <si>
    <t>Coimbatore Medical College Hospital</t>
  </si>
  <si>
    <t>9</t>
  </si>
  <si>
    <t>Tirunelveli Medical College Hospital</t>
  </si>
  <si>
    <t>10</t>
  </si>
  <si>
    <t>Govt. Mohan Kumaramangalam Medical College and Hospital, Salem</t>
  </si>
  <si>
    <t>11</t>
  </si>
  <si>
    <t>Mahatma Gandhi Memorial Medical College Hospital, Trichy</t>
  </si>
  <si>
    <t>12</t>
  </si>
  <si>
    <t>Thoothukudi Medical College Hospital</t>
  </si>
  <si>
    <t>13</t>
  </si>
  <si>
    <t>Vellore Medical College Hospital</t>
  </si>
  <si>
    <t>14</t>
  </si>
  <si>
    <t>KKMC Hospital, Asaripallam</t>
  </si>
  <si>
    <t>15</t>
  </si>
  <si>
    <t>Theni Medical College Hospital</t>
  </si>
  <si>
    <t>16</t>
  </si>
  <si>
    <t>Dharmapuri Medical College Hospital</t>
  </si>
  <si>
    <t>17</t>
  </si>
  <si>
    <t>Villupuram Medical College Hospital</t>
  </si>
  <si>
    <t>18</t>
  </si>
  <si>
    <t>Thiruvarur Medical College Hospital</t>
  </si>
  <si>
    <t>19</t>
  </si>
  <si>
    <t>Govt. Sivagangai Medical College and Hospital</t>
  </si>
  <si>
    <t>20</t>
  </si>
  <si>
    <t>Govt. Thiruvannamalai Medical College Hospital</t>
  </si>
  <si>
    <t>21</t>
  </si>
  <si>
    <t>Multisuper Speciality Hospital, Omandurar Govt Estate</t>
  </si>
  <si>
    <t>22</t>
  </si>
  <si>
    <t>Karur Medical College &amp; Hospital,  Karur</t>
  </si>
  <si>
    <t>23</t>
  </si>
  <si>
    <t>Pudukottai Medical College &amp; Hospital ,Pudukottai</t>
  </si>
  <si>
    <t>24</t>
  </si>
  <si>
    <t>Govt Medical College &amp; ESI Hospital, Singanallur, coimbatore</t>
  </si>
  <si>
    <t>25</t>
  </si>
  <si>
    <t>Institute of Non Comm Dis. &amp; Govt Royapettah Hospital</t>
  </si>
  <si>
    <t>26</t>
  </si>
  <si>
    <t>I.O.G  Hospital for Women &amp; Children</t>
  </si>
  <si>
    <t>27</t>
  </si>
  <si>
    <t>I.C.H &amp; Hospital for Children</t>
  </si>
  <si>
    <t>28</t>
  </si>
  <si>
    <t>RIO &amp;Govt. Ophthalmic Hospital</t>
  </si>
  <si>
    <t>29</t>
  </si>
  <si>
    <t>Institute of Mental Health</t>
  </si>
  <si>
    <t>30</t>
  </si>
  <si>
    <t>Inst of Social Obst. &amp; Govt. KGH, Chennai</t>
  </si>
  <si>
    <t>31</t>
  </si>
  <si>
    <t>Govt. R.S.R.M. Hospital, Chennai</t>
  </si>
  <si>
    <t>32</t>
  </si>
  <si>
    <t>Govt Hospital of Thoraic Medicine, Tambaram</t>
  </si>
  <si>
    <t>33</t>
  </si>
  <si>
    <t>Govt. Thiruvotteswarar  Hospital of Thoraic Medicine, Otteri Chennai</t>
  </si>
  <si>
    <t>34</t>
  </si>
  <si>
    <t>Institute of Thoraic Medicine,  Chetpet</t>
  </si>
  <si>
    <t>35</t>
  </si>
  <si>
    <t>Govt. Peripheral.Hospital, Anna Nagar</t>
  </si>
  <si>
    <t>36</t>
  </si>
  <si>
    <t>Govt. Peripheral.Hospital, K.K.Nagar</t>
  </si>
  <si>
    <t>37</t>
  </si>
  <si>
    <t>Govt. Peripheral.Hospital., Periyar Nagar</t>
  </si>
  <si>
    <t>38</t>
  </si>
  <si>
    <t>Govt. Peripheral.Hospital, Tondiarpet</t>
  </si>
  <si>
    <t>39</t>
  </si>
  <si>
    <t>Govt. Institute of Rehab Medical KK nagar, Chennai</t>
  </si>
  <si>
    <t>40</t>
  </si>
  <si>
    <t>Govt. Dental College Hospital, 350823</t>
  </si>
  <si>
    <t>41</t>
  </si>
  <si>
    <t>Cancer Institute, Kanchipuram</t>
  </si>
  <si>
    <t>42</t>
  </si>
  <si>
    <t>Cancer Hospital, Karapettai, KPM</t>
  </si>
  <si>
    <t>43</t>
  </si>
  <si>
    <t>College of Physiotherapy, Trichy</t>
  </si>
  <si>
    <t>44</t>
  </si>
  <si>
    <t>Govt. Rajaji T.B. Hospital, Trichy</t>
  </si>
  <si>
    <t>45</t>
  </si>
  <si>
    <t>Govt. Hospital, Balarangapuram, Madurai</t>
  </si>
  <si>
    <t>46</t>
  </si>
  <si>
    <t>Infectious Diseases Hospital, Thoppur</t>
  </si>
  <si>
    <t>47</t>
  </si>
  <si>
    <t>Cholera Collegeegeection Centre, Thoppur</t>
  </si>
  <si>
    <t>48</t>
  </si>
  <si>
    <t>P.A.Ramasamy Memorial Govt. Hospital, Kandiaperi</t>
  </si>
  <si>
    <t>49</t>
  </si>
  <si>
    <t>Govt. High Court Dispensary, Chennai</t>
  </si>
  <si>
    <t>50</t>
  </si>
  <si>
    <t>Raj Bhavan Dispensary, chennai</t>
  </si>
  <si>
    <t>51</t>
  </si>
  <si>
    <t>MLA Hostel Dispensary, chennai</t>
  </si>
  <si>
    <t>52</t>
  </si>
  <si>
    <t>Secretariat Dispensary, chennai</t>
  </si>
  <si>
    <t>53</t>
  </si>
  <si>
    <t>Govt. High Court Dispensary, Madurai</t>
  </si>
  <si>
    <t>54</t>
  </si>
  <si>
    <t>Govt.Dispensary, Queen Mary's College, chennai</t>
  </si>
  <si>
    <t>55</t>
  </si>
  <si>
    <t>Modern Medicine Dispensary, Chennai</t>
  </si>
  <si>
    <t>56</t>
  </si>
  <si>
    <t>Tot Hunter Nagar Dispensary, Chennai</t>
  </si>
  <si>
    <t>57</t>
  </si>
  <si>
    <t>Govt press Dispensary, Chennai</t>
  </si>
  <si>
    <t>58</t>
  </si>
  <si>
    <t>Chepauk Dispensary, Chennai</t>
  </si>
  <si>
    <t>59</t>
  </si>
  <si>
    <t>DPI Complex Dispensary, Chennai</t>
  </si>
  <si>
    <t>S.No</t>
  </si>
  <si>
    <t>Rajiv Gandhi Govt. General Hospital.</t>
  </si>
  <si>
    <t>Govt Kilpauk Medical College Hospital Ch.</t>
  </si>
  <si>
    <t>Govt. MKMedical College and Hospital Salem</t>
  </si>
  <si>
    <t>Mahatma Gandhi Memorial Trichy</t>
  </si>
  <si>
    <t>Karur Medical College &amp; Hospital Karur</t>
  </si>
  <si>
    <t>Inst of Non Comm Dis. &amp; GRH Ch</t>
  </si>
  <si>
    <t>RIO &amp; Govt. Ophthalmic Hospital</t>
  </si>
  <si>
    <t>Institute of Social Obst. &amp; Govt. KGH Chennai</t>
  </si>
  <si>
    <t>Govt Hospital of Thoracic Medical, Tambaram</t>
  </si>
  <si>
    <t>Govt. Thiruvotteswarar  Hospital of Thoracic Medicine, Otteri Chennai</t>
  </si>
  <si>
    <t>Govt. Peripheral Hospital, Anna Nagar</t>
  </si>
  <si>
    <t>Govt. Peripheral Hospital, K.K.Nagar</t>
  </si>
  <si>
    <t>Govt. Peripheral Hospital, Periyar Nagar</t>
  </si>
  <si>
    <t>Govt. Peripheral Hospital, Tondiarpet</t>
  </si>
  <si>
    <t>Govt. Institute of Rehab Medical KK Nagar, Chennai</t>
  </si>
  <si>
    <t>Arignar Anna Memorial Cancer Hospital, Karapettai, KPM</t>
  </si>
  <si>
    <t>Govt. Rajaji T.B.Hospital, Trichy</t>
  </si>
  <si>
    <t>Govt. Hospital for Thoracic Medicine, Thoppur, Madurai</t>
  </si>
  <si>
    <t>Infectious Diseases Hospital Thoppur, Madurai</t>
  </si>
  <si>
    <t>Cholera College Centre,  Thoppur</t>
  </si>
  <si>
    <t>P.A.Ramasamy Memorial Govt. Hospital, Kandiaperi, Tirunelveli Dist.</t>
  </si>
  <si>
    <t>Rajiv Gandhi Govt. General  Hospital</t>
  </si>
  <si>
    <t>Govt. Stanley Hospital</t>
  </si>
  <si>
    <t>Kilpauk Medical College Hospital</t>
  </si>
  <si>
    <t>Govt. Raja Mirasdar Hospital, Thanjavur</t>
  </si>
  <si>
    <t>Govt. Mohan Kumaramangalam Hospital, Salem</t>
  </si>
  <si>
    <t>Mahathma Gandhi Memorial Hospital, Trichy</t>
  </si>
  <si>
    <t>Thoothkudi Medical Hospital, Thoothukudi</t>
  </si>
  <si>
    <t>Vellore Medical Hospital</t>
  </si>
  <si>
    <t>KKMC Hospital, Aasaripallam</t>
  </si>
  <si>
    <t>Theni Medical Hospital, Theni</t>
  </si>
  <si>
    <t>Dharmapuri Medical Hospital, Dharmapuri</t>
  </si>
  <si>
    <t>Villupuram Medical Hospital, Villupuram</t>
  </si>
  <si>
    <t>Thiruvarur Medical Hospital</t>
  </si>
  <si>
    <t>Govt. Thiruvannamalai Medical College and Hospital</t>
  </si>
  <si>
    <t>TN Multi Superspeciality Hospital, Omandurar</t>
  </si>
  <si>
    <t>Karur Medical College &amp; Hospital, Karur</t>
  </si>
  <si>
    <t>Pudukottai Medical College &amp; Hospital, Pudukottai</t>
  </si>
  <si>
    <t>Govt Medical College &amp; ESI Hospital, Singanallur, Coimbatore</t>
  </si>
  <si>
    <t>Govt. Royapettah Hospital</t>
  </si>
  <si>
    <t>IOG, Hospital for Women &amp;Children</t>
  </si>
  <si>
    <t>ICH for children</t>
  </si>
  <si>
    <t xml:space="preserve">RIO and Govt. Ophthalmic  Hospital </t>
  </si>
  <si>
    <t>Govt. KasturbaGandhi Hospital</t>
  </si>
  <si>
    <t>Govt. RSRM Hospital</t>
  </si>
  <si>
    <t>Govt. Thoraic Medicine, Tambaram</t>
  </si>
  <si>
    <t>Govt. Thiruvotteswarar Hospital, Otteri</t>
  </si>
  <si>
    <t>Govt. Peripheral Hospital, K.K Nagar</t>
  </si>
  <si>
    <t>Govt. Institute of Rehabilization Medicine</t>
  </si>
  <si>
    <t>Govt. Dental Hospital, Chennai</t>
  </si>
  <si>
    <t>Cancer  Hospital, Karapettai</t>
  </si>
  <si>
    <t>Govt. Balarangapuram,  Madurai</t>
  </si>
  <si>
    <t>P.A.Ramasamy Memorial Govt Hospital, Kandiyaperi</t>
  </si>
  <si>
    <t>Rajiv Gandhi Govt. General Hospital</t>
  </si>
  <si>
    <t>Govt Stanley Hospital</t>
  </si>
  <si>
    <t>Thanjavur Medical college Hospital</t>
  </si>
  <si>
    <t>Govt. M.K.M.C.Hospital, Salem</t>
  </si>
  <si>
    <t>Mahatma Gandhi Memorial Medical College and Hospital, Trichy</t>
  </si>
  <si>
    <t>Sivagangai Medical College Hospital</t>
  </si>
  <si>
    <t>Tamil Nadu Multi Superspeciality Hospital, Omandurar</t>
  </si>
  <si>
    <t>Karur Medical college &amp; Hospital, Karur</t>
  </si>
  <si>
    <t xml:space="preserve">Pudukottai Medical college &amp; Hospital </t>
  </si>
  <si>
    <t xml:space="preserve">Institute of Non communicable  Diseases &amp; Govt. Royapettah Hospital </t>
  </si>
  <si>
    <t>I.O.G and Hospital for Women &amp; Children</t>
  </si>
  <si>
    <t>Govt. Ophthalmic Hospital</t>
  </si>
  <si>
    <t>Institute of Social Obstetrics and Kasturbha Gandhi Hospital for Women and Children</t>
  </si>
  <si>
    <t>Govt. R.S.R.M. Hospital</t>
  </si>
  <si>
    <t>Govt. Hospital of Thoraic Medicine, Tambaram</t>
  </si>
  <si>
    <t>Govt. Thiruvotteswarar Hospital for Thoraic Medicine, Otteri</t>
  </si>
  <si>
    <t>Institute of Thoraic Medicine, Chetpet, Chennai</t>
  </si>
  <si>
    <t>Govt Peripheral Hospital, Anna nagar</t>
  </si>
  <si>
    <t>Govt. Peripheral, K.K.Nagar</t>
  </si>
  <si>
    <t>Govt. Peripheral,  Periyar nagar</t>
  </si>
  <si>
    <t>Govt. Peripheral, Tondiarpet</t>
  </si>
  <si>
    <t>Govt. Institute of Rehabitation Medicine &amp; ALC, KK nagar</t>
  </si>
  <si>
    <t>Govt. Dental  Hospital, Chennai</t>
  </si>
  <si>
    <t>Arignat Anna Memorial Cancer Institute, Kancheepuram</t>
  </si>
  <si>
    <t>Arignar Anna Memorial Cancer Hospital, Karapettai, Kancheepuram</t>
  </si>
  <si>
    <t>Govt.Hospital for Thoracic Medicine, Thoppur</t>
  </si>
  <si>
    <t>Row Labels</t>
  </si>
  <si>
    <t>Grand Total</t>
  </si>
  <si>
    <t>Sum of Total</t>
  </si>
  <si>
    <t>Average of Growth%</t>
  </si>
  <si>
    <t>Tamil Nadu Healthcare Analysis 2013-2017</t>
  </si>
  <si>
    <t>Total Outpatients</t>
  </si>
  <si>
    <t>Total Inpatients</t>
  </si>
  <si>
    <t>Total Surgeries</t>
  </si>
  <si>
    <t>Total Lab_Investigations</t>
  </si>
  <si>
    <t>Hospital Name</t>
  </si>
  <si>
    <t>Top 5 Hospitals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</si>
</sst>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11"/>
      <color rgb="FF006100"/>
      <name val="Calibri"/>
      <family val="2"/>
      <scheme val="minor"/>
    </font>
    <font>
      <b/>
      <sz val="14"/>
      <color rgb="FF0061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8"/>
        <bgColor indexed="64"/>
      </patternFill>
    </fill>
    <fill>
      <patternFill patternType="solid">
        <fgColor theme="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2" xfId="0" applyBorder="1"/>
    <xf numFmtId="0" fontId="0" fillId="3" borderId="2" xfId="0" applyFill="1" applyBorder="1"/>
    <xf numFmtId="0" fontId="5" fillId="3" borderId="2" xfId="0" applyFont="1" applyFill="1" applyBorder="1"/>
    <xf numFmtId="1" fontId="4" fillId="2" borderId="2" xfId="1" applyNumberFormat="1" applyFont="1" applyBorder="1"/>
    <xf numFmtId="0" fontId="6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5" fillId="0" borderId="0" xfId="0" applyFont="1" applyAlignment="1">
      <alignment horizontal="center"/>
    </xf>
  </cellXfs>
  <cellStyles count="2">
    <cellStyle name="Good" xfId="1" builtinId="26"/>
    <cellStyle name="Normal" xfId="0" builtinId="0"/>
  </cellStyles>
  <dxfs count="12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Hospitals</a:t>
            </a:r>
            <a:r>
              <a:rPr lang="en-US" baseline="0"/>
              <a:t> Table By Outpatients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DASHBOARD!$C$8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DASHBOARD!$B$9:$B$13</c:f>
              <c:strCache>
                <c:ptCount val="5"/>
                <c:pt idx="0">
                  <c:v>Rajiv Gandhi Govt. General Hospital</c:v>
                </c:pt>
                <c:pt idx="1">
                  <c:v>Govt. Rajaji Hospital, Madurai</c:v>
                </c:pt>
                <c:pt idx="2">
                  <c:v>Govt Stanley Hospital, Chennai</c:v>
                </c:pt>
                <c:pt idx="3">
                  <c:v>Coimbatore Medical College Hospital</c:v>
                </c:pt>
                <c:pt idx="4">
                  <c:v>Govt. Mohan Kumaramangalam Medical College and Hospital, Salem</c:v>
                </c:pt>
              </c:strCache>
            </c:strRef>
          </c:cat>
          <c:val>
            <c:numRef>
              <c:f>DASHBOARD!$C$9:$C$13</c:f>
              <c:numCache>
                <c:formatCode>General</c:formatCode>
                <c:ptCount val="5"/>
                <c:pt idx="0">
                  <c:v>13927388</c:v>
                </c:pt>
                <c:pt idx="1">
                  <c:v>12943588</c:v>
                </c:pt>
                <c:pt idx="2">
                  <c:v>12366115</c:v>
                </c:pt>
                <c:pt idx="3">
                  <c:v>9077395</c:v>
                </c:pt>
                <c:pt idx="4">
                  <c:v>7794788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D5-40D1-9C54-15B44FF468B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074109311"/>
        <c:axId val="1098913935"/>
      </c:barChart>
      <c:catAx>
        <c:axId val="10741093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8913935"/>
        <c:crosses val="autoZero"/>
        <c:auto val="1"/>
        <c:lblAlgn val="ctr"/>
        <c:lblOffset val="100"/>
        <c:noMultiLvlLbl val="0"/>
      </c:catAx>
      <c:valAx>
        <c:axId val="109891393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4109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[TamilNadu_Healthcare_Summary (Final).xlsx]Outpatient Pivot Chart!PivotTable2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'Outpatient Pivot Chart'!$B$3</c:f>
              <c:strCache>
                <c:ptCount val="1"/>
                <c:pt idx="0">
                  <c:v>Sum of 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'Outpatient Pivot Chart'!$A$4:$A$63</c:f>
              <c:strCache>
                <c:ptCount val="59"/>
                <c:pt idx="0">
                  <c:v>Rajiv Gandhi Govt. General Hospital, Chennai 3</c:v>
                </c:pt>
                <c:pt idx="1">
                  <c:v>Govt. Rajaji Hospital, Madurai</c:v>
                </c:pt>
                <c:pt idx="2">
                  <c:v>Govt Stanley Hospital, Chennai</c:v>
                </c:pt>
                <c:pt idx="3">
                  <c:v>Coimbatore Medical College Hospital</c:v>
                </c:pt>
                <c:pt idx="4">
                  <c:v>Govt. Mohan Kumaramangalam Medical College and Hospital, Salem</c:v>
                </c:pt>
                <c:pt idx="5">
                  <c:v>Tirunelveli Medical College Hospital</c:v>
                </c:pt>
                <c:pt idx="6">
                  <c:v>Chengalpattu Medical College Hospital</c:v>
                </c:pt>
                <c:pt idx="7">
                  <c:v>Mahatma Gandhi Memorial Medical College Hospital, Trichy</c:v>
                </c:pt>
                <c:pt idx="8">
                  <c:v>Thanjavur Medical College Hospital</c:v>
                </c:pt>
                <c:pt idx="9">
                  <c:v>Govt Kilpauk Medical College Hospital</c:v>
                </c:pt>
                <c:pt idx="10">
                  <c:v>Institute of Non Comm Dis. &amp; Govt Royapettah Hospital</c:v>
                </c:pt>
                <c:pt idx="11">
                  <c:v>Govt. Thiruvannamalai Medical College Hospital</c:v>
                </c:pt>
                <c:pt idx="12">
                  <c:v>KKMC Hospital, Asaripallam</c:v>
                </c:pt>
                <c:pt idx="13">
                  <c:v>Dharmapuri Medical College Hospital</c:v>
                </c:pt>
                <c:pt idx="14">
                  <c:v>Villupuram Medical College Hospital</c:v>
                </c:pt>
                <c:pt idx="15">
                  <c:v>Vellore Medical College Hospital</c:v>
                </c:pt>
                <c:pt idx="16">
                  <c:v>Theni Medical College Hospital</c:v>
                </c:pt>
                <c:pt idx="17">
                  <c:v>I.C.H &amp; Hospital for Children</c:v>
                </c:pt>
                <c:pt idx="18">
                  <c:v>Thoothukudi Medical College Hospital</c:v>
                </c:pt>
                <c:pt idx="19">
                  <c:v>Govt. Raja Mirasdar Hospital, Tanjavur</c:v>
                </c:pt>
                <c:pt idx="20">
                  <c:v>Karur Medical College &amp; Hospital,  Karur</c:v>
                </c:pt>
                <c:pt idx="21">
                  <c:v>Govt. Sivagangai Medical College and Hospital</c:v>
                </c:pt>
                <c:pt idx="22">
                  <c:v>Thiruvarur Medical College Hospital</c:v>
                </c:pt>
                <c:pt idx="23">
                  <c:v>Govt. Peripheral.Hospital, K.K.Nagar</c:v>
                </c:pt>
                <c:pt idx="24">
                  <c:v>Inst of Social Obst. &amp; Govt. KGH, Chennai</c:v>
                </c:pt>
                <c:pt idx="25">
                  <c:v>Govt. Peripheral.Hospital, Tondiarpet</c:v>
                </c:pt>
                <c:pt idx="26">
                  <c:v>Govt. Peripheral.Hospital, Anna Nagar</c:v>
                </c:pt>
                <c:pt idx="27">
                  <c:v>Govt. Dental College Hospital, 350823</c:v>
                </c:pt>
                <c:pt idx="28">
                  <c:v>RIO &amp;Govt. Ophthalmic Hospital</c:v>
                </c:pt>
                <c:pt idx="29">
                  <c:v>Pudukottai Medical College &amp; Hospital ,Pudukottai</c:v>
                </c:pt>
                <c:pt idx="30">
                  <c:v>Govt. Peripheral.Hospital., Periyar Nagar</c:v>
                </c:pt>
                <c:pt idx="31">
                  <c:v>Institute of Thoraic Medicine,  Chetpet</c:v>
                </c:pt>
                <c:pt idx="32">
                  <c:v>Govt Hospital of Thoraic Medicine, Tambaram</c:v>
                </c:pt>
                <c:pt idx="33">
                  <c:v>Govt. Hospital, Balarangapuram, Madurai</c:v>
                </c:pt>
                <c:pt idx="34">
                  <c:v>I.O.G  Hospital for Women &amp; Children</c:v>
                </c:pt>
                <c:pt idx="35">
                  <c:v>Institute of Mental Health</c:v>
                </c:pt>
                <c:pt idx="36">
                  <c:v>P.A.Ramasamy Memorial Govt. Hospital, Kandiaperi</c:v>
                </c:pt>
                <c:pt idx="37">
                  <c:v>Multisuper Speciality Hospital, Omandurar Govt Estate</c:v>
                </c:pt>
                <c:pt idx="38">
                  <c:v>Govt. R.S.R.M. Hospital, Chennai</c:v>
                </c:pt>
                <c:pt idx="39">
                  <c:v>Govt. Institute of Rehab Medical KK nagar, Chennai</c:v>
                </c:pt>
                <c:pt idx="40">
                  <c:v>Govt. Thiruvotteswarar  Hospital of Thoraic Medicine, Otteri Chennai</c:v>
                </c:pt>
                <c:pt idx="41">
                  <c:v>Govt Medical College &amp; ESI Hospital, Singanallur, coimbatore</c:v>
                </c:pt>
                <c:pt idx="42">
                  <c:v>Secretariat Dispensary, chennai</c:v>
                </c:pt>
                <c:pt idx="43">
                  <c:v>Govt. Rajaji T.B. Hospital, Trichy</c:v>
                </c:pt>
                <c:pt idx="44">
                  <c:v>Cancer Hospital, Karapettai, KPM</c:v>
                </c:pt>
                <c:pt idx="45">
                  <c:v>Govt. High Court Dispensary, Chennai</c:v>
                </c:pt>
                <c:pt idx="46">
                  <c:v>Chepauk Dispensary, Chennai</c:v>
                </c:pt>
                <c:pt idx="47">
                  <c:v>College of Physiotherapy, Trichy</c:v>
                </c:pt>
                <c:pt idx="48">
                  <c:v>Govt. High Court Dispensary, Madurai</c:v>
                </c:pt>
                <c:pt idx="49">
                  <c:v>Cancer Institute, Kanchipuram</c:v>
                </c:pt>
                <c:pt idx="50">
                  <c:v>Govt press Dispensary, Chennai</c:v>
                </c:pt>
                <c:pt idx="51">
                  <c:v>Tot Hunter Nagar Dispensary, Chennai</c:v>
                </c:pt>
                <c:pt idx="52">
                  <c:v>Raj Bhavan Dispensary, chennai</c:v>
                </c:pt>
                <c:pt idx="53">
                  <c:v>MLA Hostel Dispensary, chennai</c:v>
                </c:pt>
                <c:pt idx="54">
                  <c:v>DPI Complex Dispensary, Chennai</c:v>
                </c:pt>
                <c:pt idx="55">
                  <c:v>Modern Medicine Dispensary, Chennai</c:v>
                </c:pt>
                <c:pt idx="56">
                  <c:v>Govt.Dispensary, Queen Mary's College, chennai</c:v>
                </c:pt>
                <c:pt idx="57">
                  <c:v>Infectious Diseases Hospital, Thoppur</c:v>
                </c:pt>
                <c:pt idx="58">
                  <c:v>Cholera Collegeegeection Centre, Thoppur</c:v>
                </c:pt>
              </c:strCache>
            </c:strRef>
          </c:cat>
          <c:val>
            <c:numRef>
              <c:f>'Outpatient Pivot Chart'!$B$4:$B$63</c:f>
              <c:numCache>
                <c:formatCode>General</c:formatCode>
                <c:ptCount val="59"/>
                <c:pt idx="0">
                  <c:v>13927388</c:v>
                </c:pt>
                <c:pt idx="1">
                  <c:v>12943588</c:v>
                </c:pt>
                <c:pt idx="2">
                  <c:v>12366115</c:v>
                </c:pt>
                <c:pt idx="3">
                  <c:v>9077395</c:v>
                </c:pt>
                <c:pt idx="4">
                  <c:v>7794788</c:v>
                </c:pt>
                <c:pt idx="5">
                  <c:v>6482843</c:v>
                </c:pt>
                <c:pt idx="6">
                  <c:v>5758826</c:v>
                </c:pt>
                <c:pt idx="7">
                  <c:v>5140453</c:v>
                </c:pt>
                <c:pt idx="8">
                  <c:v>5064546</c:v>
                </c:pt>
                <c:pt idx="9">
                  <c:v>4630520</c:v>
                </c:pt>
                <c:pt idx="10">
                  <c:v>4320081</c:v>
                </c:pt>
                <c:pt idx="11">
                  <c:v>4170036</c:v>
                </c:pt>
                <c:pt idx="12">
                  <c:v>3833993</c:v>
                </c:pt>
                <c:pt idx="13">
                  <c:v>3810993</c:v>
                </c:pt>
                <c:pt idx="14">
                  <c:v>3792370</c:v>
                </c:pt>
                <c:pt idx="15">
                  <c:v>3500673</c:v>
                </c:pt>
                <c:pt idx="16">
                  <c:v>2926074</c:v>
                </c:pt>
                <c:pt idx="17">
                  <c:v>2923851</c:v>
                </c:pt>
                <c:pt idx="18">
                  <c:v>2822826</c:v>
                </c:pt>
                <c:pt idx="19">
                  <c:v>2572469</c:v>
                </c:pt>
                <c:pt idx="20">
                  <c:v>2184652</c:v>
                </c:pt>
                <c:pt idx="21">
                  <c:v>2098398</c:v>
                </c:pt>
                <c:pt idx="22">
                  <c:v>2033129</c:v>
                </c:pt>
                <c:pt idx="23">
                  <c:v>1864185</c:v>
                </c:pt>
                <c:pt idx="24">
                  <c:v>1805517</c:v>
                </c:pt>
                <c:pt idx="25">
                  <c:v>1456703</c:v>
                </c:pt>
                <c:pt idx="26">
                  <c:v>1375627</c:v>
                </c:pt>
                <c:pt idx="27">
                  <c:v>1335045</c:v>
                </c:pt>
                <c:pt idx="28">
                  <c:v>1290162</c:v>
                </c:pt>
                <c:pt idx="29">
                  <c:v>1134913</c:v>
                </c:pt>
                <c:pt idx="30">
                  <c:v>1134111</c:v>
                </c:pt>
                <c:pt idx="31">
                  <c:v>962203</c:v>
                </c:pt>
                <c:pt idx="32">
                  <c:v>895979</c:v>
                </c:pt>
                <c:pt idx="33">
                  <c:v>879714</c:v>
                </c:pt>
                <c:pt idx="34">
                  <c:v>768223</c:v>
                </c:pt>
                <c:pt idx="35">
                  <c:v>644010</c:v>
                </c:pt>
                <c:pt idx="36">
                  <c:v>576722</c:v>
                </c:pt>
                <c:pt idx="37">
                  <c:v>512863</c:v>
                </c:pt>
                <c:pt idx="38">
                  <c:v>434876</c:v>
                </c:pt>
                <c:pt idx="39">
                  <c:v>415970</c:v>
                </c:pt>
                <c:pt idx="40">
                  <c:v>355741</c:v>
                </c:pt>
                <c:pt idx="41">
                  <c:v>324518</c:v>
                </c:pt>
                <c:pt idx="42">
                  <c:v>268046</c:v>
                </c:pt>
                <c:pt idx="43">
                  <c:v>178114</c:v>
                </c:pt>
                <c:pt idx="44">
                  <c:v>145972</c:v>
                </c:pt>
                <c:pt idx="45">
                  <c:v>102006</c:v>
                </c:pt>
                <c:pt idx="46">
                  <c:v>99646</c:v>
                </c:pt>
                <c:pt idx="47">
                  <c:v>74182</c:v>
                </c:pt>
                <c:pt idx="48">
                  <c:v>55992</c:v>
                </c:pt>
                <c:pt idx="49">
                  <c:v>52140</c:v>
                </c:pt>
                <c:pt idx="50">
                  <c:v>50680</c:v>
                </c:pt>
                <c:pt idx="51">
                  <c:v>48342</c:v>
                </c:pt>
                <c:pt idx="52">
                  <c:v>45839</c:v>
                </c:pt>
                <c:pt idx="53">
                  <c:v>42560</c:v>
                </c:pt>
                <c:pt idx="54">
                  <c:v>30362</c:v>
                </c:pt>
                <c:pt idx="55">
                  <c:v>19822</c:v>
                </c:pt>
                <c:pt idx="56">
                  <c:v>15161</c:v>
                </c:pt>
                <c:pt idx="57">
                  <c:v>0</c:v>
                </c:pt>
                <c:pt idx="5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AA-4478-BAE2-A3E2EE9263B1}"/>
            </c:ext>
          </c:extLst>
        </c:ser>
        <c:ser>
          <c:idx val="1"/>
          <c:order val="1"/>
          <c:tx>
            <c:strRef>
              <c:f>'Outpatient Pivot Chart'!$C$3</c:f>
              <c:strCache>
                <c:ptCount val="1"/>
                <c:pt idx="0">
                  <c:v>Average of Growth%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'Outpatient Pivot Chart'!$A$4:$A$63</c:f>
              <c:strCache>
                <c:ptCount val="59"/>
                <c:pt idx="0">
                  <c:v>Rajiv Gandhi Govt. General Hospital, Chennai 3</c:v>
                </c:pt>
                <c:pt idx="1">
                  <c:v>Govt. Rajaji Hospital, Madurai</c:v>
                </c:pt>
                <c:pt idx="2">
                  <c:v>Govt Stanley Hospital, Chennai</c:v>
                </c:pt>
                <c:pt idx="3">
                  <c:v>Coimbatore Medical College Hospital</c:v>
                </c:pt>
                <c:pt idx="4">
                  <c:v>Govt. Mohan Kumaramangalam Medical College and Hospital, Salem</c:v>
                </c:pt>
                <c:pt idx="5">
                  <c:v>Tirunelveli Medical College Hospital</c:v>
                </c:pt>
                <c:pt idx="6">
                  <c:v>Chengalpattu Medical College Hospital</c:v>
                </c:pt>
                <c:pt idx="7">
                  <c:v>Mahatma Gandhi Memorial Medical College Hospital, Trichy</c:v>
                </c:pt>
                <c:pt idx="8">
                  <c:v>Thanjavur Medical College Hospital</c:v>
                </c:pt>
                <c:pt idx="9">
                  <c:v>Govt Kilpauk Medical College Hospital</c:v>
                </c:pt>
                <c:pt idx="10">
                  <c:v>Institute of Non Comm Dis. &amp; Govt Royapettah Hospital</c:v>
                </c:pt>
                <c:pt idx="11">
                  <c:v>Govt. Thiruvannamalai Medical College Hospital</c:v>
                </c:pt>
                <c:pt idx="12">
                  <c:v>KKMC Hospital, Asaripallam</c:v>
                </c:pt>
                <c:pt idx="13">
                  <c:v>Dharmapuri Medical College Hospital</c:v>
                </c:pt>
                <c:pt idx="14">
                  <c:v>Villupuram Medical College Hospital</c:v>
                </c:pt>
                <c:pt idx="15">
                  <c:v>Vellore Medical College Hospital</c:v>
                </c:pt>
                <c:pt idx="16">
                  <c:v>Theni Medical College Hospital</c:v>
                </c:pt>
                <c:pt idx="17">
                  <c:v>I.C.H &amp; Hospital for Children</c:v>
                </c:pt>
                <c:pt idx="18">
                  <c:v>Thoothukudi Medical College Hospital</c:v>
                </c:pt>
                <c:pt idx="19">
                  <c:v>Govt. Raja Mirasdar Hospital, Tanjavur</c:v>
                </c:pt>
                <c:pt idx="20">
                  <c:v>Karur Medical College &amp; Hospital,  Karur</c:v>
                </c:pt>
                <c:pt idx="21">
                  <c:v>Govt. Sivagangai Medical College and Hospital</c:v>
                </c:pt>
                <c:pt idx="22">
                  <c:v>Thiruvarur Medical College Hospital</c:v>
                </c:pt>
                <c:pt idx="23">
                  <c:v>Govt. Peripheral.Hospital, K.K.Nagar</c:v>
                </c:pt>
                <c:pt idx="24">
                  <c:v>Inst of Social Obst. &amp; Govt. KGH, Chennai</c:v>
                </c:pt>
                <c:pt idx="25">
                  <c:v>Govt. Peripheral.Hospital, Tondiarpet</c:v>
                </c:pt>
                <c:pt idx="26">
                  <c:v>Govt. Peripheral.Hospital, Anna Nagar</c:v>
                </c:pt>
                <c:pt idx="27">
                  <c:v>Govt. Dental College Hospital, 350823</c:v>
                </c:pt>
                <c:pt idx="28">
                  <c:v>RIO &amp;Govt. Ophthalmic Hospital</c:v>
                </c:pt>
                <c:pt idx="29">
                  <c:v>Pudukottai Medical College &amp; Hospital ,Pudukottai</c:v>
                </c:pt>
                <c:pt idx="30">
                  <c:v>Govt. Peripheral.Hospital., Periyar Nagar</c:v>
                </c:pt>
                <c:pt idx="31">
                  <c:v>Institute of Thoraic Medicine,  Chetpet</c:v>
                </c:pt>
                <c:pt idx="32">
                  <c:v>Govt Hospital of Thoraic Medicine, Tambaram</c:v>
                </c:pt>
                <c:pt idx="33">
                  <c:v>Govt. Hospital, Balarangapuram, Madurai</c:v>
                </c:pt>
                <c:pt idx="34">
                  <c:v>I.O.G  Hospital for Women &amp; Children</c:v>
                </c:pt>
                <c:pt idx="35">
                  <c:v>Institute of Mental Health</c:v>
                </c:pt>
                <c:pt idx="36">
                  <c:v>P.A.Ramasamy Memorial Govt. Hospital, Kandiaperi</c:v>
                </c:pt>
                <c:pt idx="37">
                  <c:v>Multisuper Speciality Hospital, Omandurar Govt Estate</c:v>
                </c:pt>
                <c:pt idx="38">
                  <c:v>Govt. R.S.R.M. Hospital, Chennai</c:v>
                </c:pt>
                <c:pt idx="39">
                  <c:v>Govt. Institute of Rehab Medical KK nagar, Chennai</c:v>
                </c:pt>
                <c:pt idx="40">
                  <c:v>Govt. Thiruvotteswarar  Hospital of Thoraic Medicine, Otteri Chennai</c:v>
                </c:pt>
                <c:pt idx="41">
                  <c:v>Govt Medical College &amp; ESI Hospital, Singanallur, coimbatore</c:v>
                </c:pt>
                <c:pt idx="42">
                  <c:v>Secretariat Dispensary, chennai</c:v>
                </c:pt>
                <c:pt idx="43">
                  <c:v>Govt. Rajaji T.B. Hospital, Trichy</c:v>
                </c:pt>
                <c:pt idx="44">
                  <c:v>Cancer Hospital, Karapettai, KPM</c:v>
                </c:pt>
                <c:pt idx="45">
                  <c:v>Govt. High Court Dispensary, Chennai</c:v>
                </c:pt>
                <c:pt idx="46">
                  <c:v>Chepauk Dispensary, Chennai</c:v>
                </c:pt>
                <c:pt idx="47">
                  <c:v>College of Physiotherapy, Trichy</c:v>
                </c:pt>
                <c:pt idx="48">
                  <c:v>Govt. High Court Dispensary, Madurai</c:v>
                </c:pt>
                <c:pt idx="49">
                  <c:v>Cancer Institute, Kanchipuram</c:v>
                </c:pt>
                <c:pt idx="50">
                  <c:v>Govt press Dispensary, Chennai</c:v>
                </c:pt>
                <c:pt idx="51">
                  <c:v>Tot Hunter Nagar Dispensary, Chennai</c:v>
                </c:pt>
                <c:pt idx="52">
                  <c:v>Raj Bhavan Dispensary, chennai</c:v>
                </c:pt>
                <c:pt idx="53">
                  <c:v>MLA Hostel Dispensary, chennai</c:v>
                </c:pt>
                <c:pt idx="54">
                  <c:v>DPI Complex Dispensary, Chennai</c:v>
                </c:pt>
                <c:pt idx="55">
                  <c:v>Modern Medicine Dispensary, Chennai</c:v>
                </c:pt>
                <c:pt idx="56">
                  <c:v>Govt.Dispensary, Queen Mary's College, chennai</c:v>
                </c:pt>
                <c:pt idx="57">
                  <c:v>Infectious Diseases Hospital, Thoppur</c:v>
                </c:pt>
                <c:pt idx="58">
                  <c:v>Cholera Collegeegeection Centre, Thoppur</c:v>
                </c:pt>
              </c:strCache>
            </c:strRef>
          </c:cat>
          <c:val>
            <c:numRef>
              <c:f>'Outpatient Pivot Chart'!$C$4:$C$63</c:f>
              <c:numCache>
                <c:formatCode>General</c:formatCode>
                <c:ptCount val="59"/>
                <c:pt idx="0">
                  <c:v>1.8</c:v>
                </c:pt>
                <c:pt idx="1">
                  <c:v>-1.2</c:v>
                </c:pt>
                <c:pt idx="2">
                  <c:v>69.2</c:v>
                </c:pt>
                <c:pt idx="3">
                  <c:v>2.1</c:v>
                </c:pt>
                <c:pt idx="4">
                  <c:v>-12.7</c:v>
                </c:pt>
                <c:pt idx="5">
                  <c:v>25.7</c:v>
                </c:pt>
                <c:pt idx="6">
                  <c:v>-0.1</c:v>
                </c:pt>
                <c:pt idx="7">
                  <c:v>29.7</c:v>
                </c:pt>
                <c:pt idx="8">
                  <c:v>-27.4</c:v>
                </c:pt>
                <c:pt idx="9">
                  <c:v>28.6</c:v>
                </c:pt>
                <c:pt idx="10">
                  <c:v>18</c:v>
                </c:pt>
                <c:pt idx="11">
                  <c:v>31.3</c:v>
                </c:pt>
                <c:pt idx="12">
                  <c:v>2.2999999999999998</c:v>
                </c:pt>
                <c:pt idx="13">
                  <c:v>34.4</c:v>
                </c:pt>
                <c:pt idx="14">
                  <c:v>21.3</c:v>
                </c:pt>
                <c:pt idx="15">
                  <c:v>16.399999999999999</c:v>
                </c:pt>
                <c:pt idx="16">
                  <c:v>22.1</c:v>
                </c:pt>
                <c:pt idx="17">
                  <c:v>13.8</c:v>
                </c:pt>
                <c:pt idx="18">
                  <c:v>8.1</c:v>
                </c:pt>
                <c:pt idx="19">
                  <c:v>17</c:v>
                </c:pt>
                <c:pt idx="20">
                  <c:v>0</c:v>
                </c:pt>
                <c:pt idx="21">
                  <c:v>18.2</c:v>
                </c:pt>
                <c:pt idx="22">
                  <c:v>51</c:v>
                </c:pt>
                <c:pt idx="23">
                  <c:v>13.4</c:v>
                </c:pt>
                <c:pt idx="24">
                  <c:v>101.1</c:v>
                </c:pt>
                <c:pt idx="25">
                  <c:v>1.8</c:v>
                </c:pt>
                <c:pt idx="26">
                  <c:v>-17.399999999999999</c:v>
                </c:pt>
                <c:pt idx="27">
                  <c:v>-100</c:v>
                </c:pt>
                <c:pt idx="28">
                  <c:v>-7.8</c:v>
                </c:pt>
                <c:pt idx="29">
                  <c:v>0</c:v>
                </c:pt>
                <c:pt idx="30">
                  <c:v>0</c:v>
                </c:pt>
                <c:pt idx="31">
                  <c:v>-18.100000000000001</c:v>
                </c:pt>
                <c:pt idx="32">
                  <c:v>-19.399999999999999</c:v>
                </c:pt>
                <c:pt idx="33">
                  <c:v>-35.4</c:v>
                </c:pt>
                <c:pt idx="34">
                  <c:v>24.1</c:v>
                </c:pt>
                <c:pt idx="35">
                  <c:v>-6.9</c:v>
                </c:pt>
                <c:pt idx="36">
                  <c:v>-6.7</c:v>
                </c:pt>
                <c:pt idx="37">
                  <c:v>252.25074864694085</c:v>
                </c:pt>
                <c:pt idx="38">
                  <c:v>1.4</c:v>
                </c:pt>
                <c:pt idx="39">
                  <c:v>-44</c:v>
                </c:pt>
                <c:pt idx="40">
                  <c:v>-16.899999999999999</c:v>
                </c:pt>
                <c:pt idx="41">
                  <c:v>0</c:v>
                </c:pt>
                <c:pt idx="42">
                  <c:v>0</c:v>
                </c:pt>
                <c:pt idx="43">
                  <c:v>3.4</c:v>
                </c:pt>
                <c:pt idx="44">
                  <c:v>6.2</c:v>
                </c:pt>
                <c:pt idx="45">
                  <c:v>-10</c:v>
                </c:pt>
                <c:pt idx="46">
                  <c:v>0</c:v>
                </c:pt>
                <c:pt idx="47">
                  <c:v>-28.6</c:v>
                </c:pt>
                <c:pt idx="48">
                  <c:v>0</c:v>
                </c:pt>
                <c:pt idx="49">
                  <c:v>89.8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AA-4478-BAE2-A3E2EE9263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50590927"/>
        <c:axId val="1105631071"/>
      </c:barChart>
      <c:catAx>
        <c:axId val="12505909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5631071"/>
        <c:crosses val="autoZero"/>
        <c:auto val="1"/>
        <c:lblAlgn val="ctr"/>
        <c:lblOffset val="100"/>
        <c:noMultiLvlLbl val="0"/>
      </c:catAx>
      <c:valAx>
        <c:axId val="1105631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590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[TamilNadu_Healthcare_Summary (Final).xlsx]Inpatient Pivot Chart!PivotTable3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'Inpatient Pivot Chart'!$B$3</c:f>
              <c:strCache>
                <c:ptCount val="1"/>
                <c:pt idx="0">
                  <c:v>Sum of 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'Inpatient Pivot Chart'!$A$4:$A$49</c:f>
              <c:strCache>
                <c:ptCount val="45"/>
                <c:pt idx="0">
                  <c:v>Rajiv Gandhi Govt. General Hospital.</c:v>
                </c:pt>
                <c:pt idx="1">
                  <c:v>Govt. Rajaji Hospital, Madurai</c:v>
                </c:pt>
                <c:pt idx="2">
                  <c:v>Tirunelveli Medical College Hospital</c:v>
                </c:pt>
                <c:pt idx="3">
                  <c:v>Coimbatore Medical College Hospital</c:v>
                </c:pt>
                <c:pt idx="4">
                  <c:v>Govt Stanley Hospital, Chennai</c:v>
                </c:pt>
                <c:pt idx="5">
                  <c:v>Govt. MKMedical College and Hospital Salem</c:v>
                </c:pt>
                <c:pt idx="6">
                  <c:v>Thanjavur Medical College Hospital</c:v>
                </c:pt>
                <c:pt idx="7">
                  <c:v>Mahatma Gandhi Memorial Trichy</c:v>
                </c:pt>
                <c:pt idx="8">
                  <c:v>Institute of Mental Health</c:v>
                </c:pt>
                <c:pt idx="9">
                  <c:v>I.O.G  Hospital for Women &amp; Children</c:v>
                </c:pt>
                <c:pt idx="10">
                  <c:v>Vellore Medical College Hospital</c:v>
                </c:pt>
                <c:pt idx="11">
                  <c:v>Theni Medical College Hospital</c:v>
                </c:pt>
                <c:pt idx="12">
                  <c:v>Villupuram Medical College Hospital</c:v>
                </c:pt>
                <c:pt idx="13">
                  <c:v>Thoothukudi Medical College Hospital</c:v>
                </c:pt>
                <c:pt idx="14">
                  <c:v>Govt Kilpauk Medical College Hospital Ch.</c:v>
                </c:pt>
                <c:pt idx="15">
                  <c:v>Govt. Raja Mirasdar Hospital, Tanjavur</c:v>
                </c:pt>
                <c:pt idx="16">
                  <c:v>Thiruvarur Medical College Hospital</c:v>
                </c:pt>
                <c:pt idx="17">
                  <c:v>Dharmapuri Medical College Hospital</c:v>
                </c:pt>
                <c:pt idx="18">
                  <c:v>Chengalpattu Medical College Hospital</c:v>
                </c:pt>
                <c:pt idx="19">
                  <c:v>KKMC Hospital, Asaripallam</c:v>
                </c:pt>
                <c:pt idx="20">
                  <c:v>Institute of Social Obst. &amp; Govt. KGH Chennai</c:v>
                </c:pt>
                <c:pt idx="21">
                  <c:v>Govt. Thiruvannamalai Medical College Hospital</c:v>
                </c:pt>
                <c:pt idx="22">
                  <c:v>Govt. R.S.R.M. Hospital, Chennai</c:v>
                </c:pt>
                <c:pt idx="23">
                  <c:v>Govt Hospital of Thoracic Medical, Tambaram</c:v>
                </c:pt>
                <c:pt idx="24">
                  <c:v>I.C.H &amp; Hospital for Children</c:v>
                </c:pt>
                <c:pt idx="25">
                  <c:v>Inst of Non Comm Dis. &amp; GRH Ch</c:v>
                </c:pt>
                <c:pt idx="26">
                  <c:v>Govt. Sivagangai Medical College and Hospital</c:v>
                </c:pt>
                <c:pt idx="27">
                  <c:v>Pudukottai Medical College &amp; Hospital ,Pudukottai</c:v>
                </c:pt>
                <c:pt idx="28">
                  <c:v>Multisuper Speciality Hospital, Omandurar Govt Estate</c:v>
                </c:pt>
                <c:pt idx="29">
                  <c:v>Arignar Anna Memorial Cancer Hospital, Karapettai, KPM</c:v>
                </c:pt>
                <c:pt idx="30">
                  <c:v>RIO &amp; Govt. Ophthalmic Hospital</c:v>
                </c:pt>
                <c:pt idx="31">
                  <c:v>Karur Medical College &amp; Hospital Karur</c:v>
                </c:pt>
                <c:pt idx="32">
                  <c:v>Govt. Hospital for Thoracic Medicine, Thoppur, Madurai</c:v>
                </c:pt>
                <c:pt idx="33">
                  <c:v>Govt. Thiruvotteswarar  Hospital of Thoracic Medicine, Otteri Chennai</c:v>
                </c:pt>
                <c:pt idx="34">
                  <c:v>Govt. Institute of Rehab Medical KK Nagar, Chennai</c:v>
                </c:pt>
                <c:pt idx="35">
                  <c:v>Govt. Peripheral Hospital, Tondiarpet</c:v>
                </c:pt>
                <c:pt idx="36">
                  <c:v>Govt Medical College &amp; ESI Hospital, Singanallur, coimbatore</c:v>
                </c:pt>
                <c:pt idx="37">
                  <c:v>Govt. Peripheral Hospital, Periyar Nagar</c:v>
                </c:pt>
                <c:pt idx="38">
                  <c:v>Govt. Peripheral Hospital, Anna Nagar</c:v>
                </c:pt>
                <c:pt idx="39">
                  <c:v>Govt. Hospital, Balarangapuram, Madurai</c:v>
                </c:pt>
                <c:pt idx="40">
                  <c:v>Govt. Peripheral Hospital, K.K.Nagar</c:v>
                </c:pt>
                <c:pt idx="41">
                  <c:v>Govt. Rajaji T.B.Hospital, Trichy</c:v>
                </c:pt>
                <c:pt idx="42">
                  <c:v>Infectious Diseases Hospital Thoppur, Madurai</c:v>
                </c:pt>
                <c:pt idx="43">
                  <c:v>P.A.Ramasamy Memorial Govt. Hospital, Kandiaperi, Tirunelveli Dist.</c:v>
                </c:pt>
                <c:pt idx="44">
                  <c:v>Cholera College Centre,  Thoppur</c:v>
                </c:pt>
              </c:strCache>
            </c:strRef>
          </c:cat>
          <c:val>
            <c:numRef>
              <c:f>'Inpatient Pivot Chart'!$B$4:$B$49</c:f>
              <c:numCache>
                <c:formatCode>General</c:formatCode>
                <c:ptCount val="45"/>
                <c:pt idx="0">
                  <c:v>4502968</c:v>
                </c:pt>
                <c:pt idx="1">
                  <c:v>4242230</c:v>
                </c:pt>
                <c:pt idx="2">
                  <c:v>2446985</c:v>
                </c:pt>
                <c:pt idx="3">
                  <c:v>2431755</c:v>
                </c:pt>
                <c:pt idx="4">
                  <c:v>2383625</c:v>
                </c:pt>
                <c:pt idx="5">
                  <c:v>2372750</c:v>
                </c:pt>
                <c:pt idx="6">
                  <c:v>1978456</c:v>
                </c:pt>
                <c:pt idx="7">
                  <c:v>1941542</c:v>
                </c:pt>
                <c:pt idx="8">
                  <c:v>1893522</c:v>
                </c:pt>
                <c:pt idx="9">
                  <c:v>1751134</c:v>
                </c:pt>
                <c:pt idx="10">
                  <c:v>1687067</c:v>
                </c:pt>
                <c:pt idx="11">
                  <c:v>1544292</c:v>
                </c:pt>
                <c:pt idx="12">
                  <c:v>1533343</c:v>
                </c:pt>
                <c:pt idx="13">
                  <c:v>1525023</c:v>
                </c:pt>
                <c:pt idx="14">
                  <c:v>1517960</c:v>
                </c:pt>
                <c:pt idx="15">
                  <c:v>1404970</c:v>
                </c:pt>
                <c:pt idx="16">
                  <c:v>1390358</c:v>
                </c:pt>
                <c:pt idx="17">
                  <c:v>1385847</c:v>
                </c:pt>
                <c:pt idx="18">
                  <c:v>1288669</c:v>
                </c:pt>
                <c:pt idx="19">
                  <c:v>1214666</c:v>
                </c:pt>
                <c:pt idx="20">
                  <c:v>1140053</c:v>
                </c:pt>
                <c:pt idx="21">
                  <c:v>1102014</c:v>
                </c:pt>
                <c:pt idx="22">
                  <c:v>1087107</c:v>
                </c:pt>
                <c:pt idx="23">
                  <c:v>1071594</c:v>
                </c:pt>
                <c:pt idx="24">
                  <c:v>1044291</c:v>
                </c:pt>
                <c:pt idx="25">
                  <c:v>984736</c:v>
                </c:pt>
                <c:pt idx="26">
                  <c:v>850238</c:v>
                </c:pt>
                <c:pt idx="27">
                  <c:v>349885</c:v>
                </c:pt>
                <c:pt idx="28">
                  <c:v>328962</c:v>
                </c:pt>
                <c:pt idx="29">
                  <c:v>320471</c:v>
                </c:pt>
                <c:pt idx="30">
                  <c:v>312345</c:v>
                </c:pt>
                <c:pt idx="31">
                  <c:v>259727</c:v>
                </c:pt>
                <c:pt idx="32">
                  <c:v>229381</c:v>
                </c:pt>
                <c:pt idx="33">
                  <c:v>189890</c:v>
                </c:pt>
                <c:pt idx="34">
                  <c:v>101745</c:v>
                </c:pt>
                <c:pt idx="35">
                  <c:v>99191</c:v>
                </c:pt>
                <c:pt idx="36">
                  <c:v>80838</c:v>
                </c:pt>
                <c:pt idx="37">
                  <c:v>72139</c:v>
                </c:pt>
                <c:pt idx="38">
                  <c:v>66942</c:v>
                </c:pt>
                <c:pt idx="39">
                  <c:v>60150</c:v>
                </c:pt>
                <c:pt idx="40">
                  <c:v>54363</c:v>
                </c:pt>
                <c:pt idx="41">
                  <c:v>50447</c:v>
                </c:pt>
                <c:pt idx="42">
                  <c:v>21320</c:v>
                </c:pt>
                <c:pt idx="43">
                  <c:v>8205</c:v>
                </c:pt>
                <c:pt idx="44">
                  <c:v>5501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B8-49F0-9FC4-EF0B73578F56}"/>
            </c:ext>
          </c:extLst>
        </c:ser>
        <c:ser>
          <c:idx val="1"/>
          <c:order val="1"/>
          <c:tx>
            <c:strRef>
              <c:f>'Inpatient Pivot Chart'!$C$3</c:f>
              <c:strCache>
                <c:ptCount val="1"/>
                <c:pt idx="0">
                  <c:v>Average of Growth%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'Inpatient Pivot Chart'!$A$4:$A$49</c:f>
              <c:strCache>
                <c:ptCount val="45"/>
                <c:pt idx="0">
                  <c:v>Rajiv Gandhi Govt. General Hospital.</c:v>
                </c:pt>
                <c:pt idx="1">
                  <c:v>Govt. Rajaji Hospital, Madurai</c:v>
                </c:pt>
                <c:pt idx="2">
                  <c:v>Tirunelveli Medical College Hospital</c:v>
                </c:pt>
                <c:pt idx="3">
                  <c:v>Coimbatore Medical College Hospital</c:v>
                </c:pt>
                <c:pt idx="4">
                  <c:v>Govt Stanley Hospital, Chennai</c:v>
                </c:pt>
                <c:pt idx="5">
                  <c:v>Govt. MKMedical College and Hospital Salem</c:v>
                </c:pt>
                <c:pt idx="6">
                  <c:v>Thanjavur Medical College Hospital</c:v>
                </c:pt>
                <c:pt idx="7">
                  <c:v>Mahatma Gandhi Memorial Trichy</c:v>
                </c:pt>
                <c:pt idx="8">
                  <c:v>Institute of Mental Health</c:v>
                </c:pt>
                <c:pt idx="9">
                  <c:v>I.O.G  Hospital for Women &amp; Children</c:v>
                </c:pt>
                <c:pt idx="10">
                  <c:v>Vellore Medical College Hospital</c:v>
                </c:pt>
                <c:pt idx="11">
                  <c:v>Theni Medical College Hospital</c:v>
                </c:pt>
                <c:pt idx="12">
                  <c:v>Villupuram Medical College Hospital</c:v>
                </c:pt>
                <c:pt idx="13">
                  <c:v>Thoothukudi Medical College Hospital</c:v>
                </c:pt>
                <c:pt idx="14">
                  <c:v>Govt Kilpauk Medical College Hospital Ch.</c:v>
                </c:pt>
                <c:pt idx="15">
                  <c:v>Govt. Raja Mirasdar Hospital, Tanjavur</c:v>
                </c:pt>
                <c:pt idx="16">
                  <c:v>Thiruvarur Medical College Hospital</c:v>
                </c:pt>
                <c:pt idx="17">
                  <c:v>Dharmapuri Medical College Hospital</c:v>
                </c:pt>
                <c:pt idx="18">
                  <c:v>Chengalpattu Medical College Hospital</c:v>
                </c:pt>
                <c:pt idx="19">
                  <c:v>KKMC Hospital, Asaripallam</c:v>
                </c:pt>
                <c:pt idx="20">
                  <c:v>Institute of Social Obst. &amp; Govt. KGH Chennai</c:v>
                </c:pt>
                <c:pt idx="21">
                  <c:v>Govt. Thiruvannamalai Medical College Hospital</c:v>
                </c:pt>
                <c:pt idx="22">
                  <c:v>Govt. R.S.R.M. Hospital, Chennai</c:v>
                </c:pt>
                <c:pt idx="23">
                  <c:v>Govt Hospital of Thoracic Medical, Tambaram</c:v>
                </c:pt>
                <c:pt idx="24">
                  <c:v>I.C.H &amp; Hospital for Children</c:v>
                </c:pt>
                <c:pt idx="25">
                  <c:v>Inst of Non Comm Dis. &amp; GRH Ch</c:v>
                </c:pt>
                <c:pt idx="26">
                  <c:v>Govt. Sivagangai Medical College and Hospital</c:v>
                </c:pt>
                <c:pt idx="27">
                  <c:v>Pudukottai Medical College &amp; Hospital ,Pudukottai</c:v>
                </c:pt>
                <c:pt idx="28">
                  <c:v>Multisuper Speciality Hospital, Omandurar Govt Estate</c:v>
                </c:pt>
                <c:pt idx="29">
                  <c:v>Arignar Anna Memorial Cancer Hospital, Karapettai, KPM</c:v>
                </c:pt>
                <c:pt idx="30">
                  <c:v>RIO &amp; Govt. Ophthalmic Hospital</c:v>
                </c:pt>
                <c:pt idx="31">
                  <c:v>Karur Medical College &amp; Hospital Karur</c:v>
                </c:pt>
                <c:pt idx="32">
                  <c:v>Govt. Hospital for Thoracic Medicine, Thoppur, Madurai</c:v>
                </c:pt>
                <c:pt idx="33">
                  <c:v>Govt. Thiruvotteswarar  Hospital of Thoracic Medicine, Otteri Chennai</c:v>
                </c:pt>
                <c:pt idx="34">
                  <c:v>Govt. Institute of Rehab Medical KK Nagar, Chennai</c:v>
                </c:pt>
                <c:pt idx="35">
                  <c:v>Govt. Peripheral Hospital, Tondiarpet</c:v>
                </c:pt>
                <c:pt idx="36">
                  <c:v>Govt Medical College &amp; ESI Hospital, Singanallur, coimbatore</c:v>
                </c:pt>
                <c:pt idx="37">
                  <c:v>Govt. Peripheral Hospital, Periyar Nagar</c:v>
                </c:pt>
                <c:pt idx="38">
                  <c:v>Govt. Peripheral Hospital, Anna Nagar</c:v>
                </c:pt>
                <c:pt idx="39">
                  <c:v>Govt. Hospital, Balarangapuram, Madurai</c:v>
                </c:pt>
                <c:pt idx="40">
                  <c:v>Govt. Peripheral Hospital, K.K.Nagar</c:v>
                </c:pt>
                <c:pt idx="41">
                  <c:v>Govt. Rajaji T.B.Hospital, Trichy</c:v>
                </c:pt>
                <c:pt idx="42">
                  <c:v>Infectious Diseases Hospital Thoppur, Madurai</c:v>
                </c:pt>
                <c:pt idx="43">
                  <c:v>P.A.Ramasamy Memorial Govt. Hospital, Kandiaperi, Tirunelveli Dist.</c:v>
                </c:pt>
                <c:pt idx="44">
                  <c:v>Cholera College Centre,  Thoppur</c:v>
                </c:pt>
              </c:strCache>
            </c:strRef>
          </c:cat>
          <c:val>
            <c:numRef>
              <c:f>'Inpatient Pivot Chart'!$C$4:$C$49</c:f>
              <c:numCache>
                <c:formatCode>General</c:formatCode>
                <c:ptCount val="45"/>
                <c:pt idx="0">
                  <c:v>4.0999999999999996</c:v>
                </c:pt>
                <c:pt idx="1">
                  <c:v>3</c:v>
                </c:pt>
                <c:pt idx="2">
                  <c:v>27.3</c:v>
                </c:pt>
                <c:pt idx="3">
                  <c:v>32.700000000000003</c:v>
                </c:pt>
                <c:pt idx="4">
                  <c:v>16.7</c:v>
                </c:pt>
                <c:pt idx="5">
                  <c:v>12.9</c:v>
                </c:pt>
                <c:pt idx="6">
                  <c:v>1.1000000000000001</c:v>
                </c:pt>
                <c:pt idx="7">
                  <c:v>61.7</c:v>
                </c:pt>
                <c:pt idx="8">
                  <c:v>-23.4</c:v>
                </c:pt>
                <c:pt idx="9">
                  <c:v>13.5</c:v>
                </c:pt>
                <c:pt idx="10">
                  <c:v>28.8</c:v>
                </c:pt>
                <c:pt idx="11">
                  <c:v>35.200000000000003</c:v>
                </c:pt>
                <c:pt idx="12">
                  <c:v>39</c:v>
                </c:pt>
                <c:pt idx="13">
                  <c:v>22.3</c:v>
                </c:pt>
                <c:pt idx="14">
                  <c:v>23</c:v>
                </c:pt>
                <c:pt idx="15">
                  <c:v>20</c:v>
                </c:pt>
                <c:pt idx="16">
                  <c:v>39.1</c:v>
                </c:pt>
                <c:pt idx="17">
                  <c:v>31.9</c:v>
                </c:pt>
                <c:pt idx="18">
                  <c:v>17.8</c:v>
                </c:pt>
                <c:pt idx="19">
                  <c:v>7.9</c:v>
                </c:pt>
                <c:pt idx="20">
                  <c:v>34.700000000000003</c:v>
                </c:pt>
                <c:pt idx="21">
                  <c:v>94.1</c:v>
                </c:pt>
                <c:pt idx="22">
                  <c:v>-11.1</c:v>
                </c:pt>
                <c:pt idx="23">
                  <c:v>-30.3</c:v>
                </c:pt>
                <c:pt idx="24">
                  <c:v>9.9</c:v>
                </c:pt>
                <c:pt idx="25">
                  <c:v>6</c:v>
                </c:pt>
                <c:pt idx="26">
                  <c:v>171.5</c:v>
                </c:pt>
                <c:pt idx="27">
                  <c:v>0</c:v>
                </c:pt>
                <c:pt idx="28">
                  <c:v>0</c:v>
                </c:pt>
                <c:pt idx="29">
                  <c:v>-29.8</c:v>
                </c:pt>
                <c:pt idx="30">
                  <c:v>-23.8</c:v>
                </c:pt>
                <c:pt idx="31">
                  <c:v>0</c:v>
                </c:pt>
                <c:pt idx="32">
                  <c:v>-4.8</c:v>
                </c:pt>
                <c:pt idx="33">
                  <c:v>-13.9</c:v>
                </c:pt>
                <c:pt idx="34">
                  <c:v>-58.6</c:v>
                </c:pt>
                <c:pt idx="35">
                  <c:v>-13.4</c:v>
                </c:pt>
                <c:pt idx="36">
                  <c:v>0</c:v>
                </c:pt>
                <c:pt idx="37">
                  <c:v>0</c:v>
                </c:pt>
                <c:pt idx="38">
                  <c:v>-13.5</c:v>
                </c:pt>
                <c:pt idx="39">
                  <c:v>-53.9</c:v>
                </c:pt>
                <c:pt idx="40">
                  <c:v>-41.6</c:v>
                </c:pt>
                <c:pt idx="41">
                  <c:v>4.2</c:v>
                </c:pt>
                <c:pt idx="42">
                  <c:v>183</c:v>
                </c:pt>
                <c:pt idx="43">
                  <c:v>-24.4</c:v>
                </c:pt>
                <c:pt idx="44">
                  <c:v>-19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B8-49F0-9FC4-EF0B73578F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59375503"/>
        <c:axId val="1159375983"/>
      </c:barChart>
      <c:catAx>
        <c:axId val="11593755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375983"/>
        <c:crosses val="autoZero"/>
        <c:auto val="1"/>
        <c:lblAlgn val="ctr"/>
        <c:lblOffset val="100"/>
        <c:noMultiLvlLbl val="0"/>
      </c:catAx>
      <c:valAx>
        <c:axId val="1159375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375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[TamilNadu_Healthcare_Summary (Final).xlsx]Surgeries Pivot Chart!PivotTable4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'Surgeries Pivot Chart'!$B$3</c:f>
              <c:strCache>
                <c:ptCount val="1"/>
                <c:pt idx="0">
                  <c:v>Sum of 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'Surgeries Pivot Chart'!$A$4:$A$45</c:f>
              <c:strCache>
                <c:ptCount val="41"/>
                <c:pt idx="0">
                  <c:v>Govt. Dental Hospital, Chennai</c:v>
                </c:pt>
                <c:pt idx="1">
                  <c:v>Govt. Rajaji Hospital, Madurai</c:v>
                </c:pt>
                <c:pt idx="2">
                  <c:v>KKMC Hospital, Aasaripallam</c:v>
                </c:pt>
                <c:pt idx="3">
                  <c:v>Dharmapuri Medical Hospital, Dharmapuri</c:v>
                </c:pt>
                <c:pt idx="4">
                  <c:v>Govt. Stanley Hospital</c:v>
                </c:pt>
                <c:pt idx="5">
                  <c:v>Chengalpattu Medical College Hospital</c:v>
                </c:pt>
                <c:pt idx="6">
                  <c:v>Rajiv Gandhi Govt. General  Hospital</c:v>
                </c:pt>
                <c:pt idx="7">
                  <c:v>Coimbatore Medical College Hospital</c:v>
                </c:pt>
                <c:pt idx="8">
                  <c:v>Govt. Mohan Kumaramangalam Hospital, Salem</c:v>
                </c:pt>
                <c:pt idx="9">
                  <c:v>RIO and Govt. Ophthalmic  Hospital </c:v>
                </c:pt>
                <c:pt idx="10">
                  <c:v>Thoothkudi Medical Hospital, Thoothukudi</c:v>
                </c:pt>
                <c:pt idx="11">
                  <c:v>Mahathma Gandhi Memorial Hospital, Trichy</c:v>
                </c:pt>
                <c:pt idx="12">
                  <c:v>Govt. Royapettah Hospital</c:v>
                </c:pt>
                <c:pt idx="13">
                  <c:v>Govt. Raja Mirasdar Hospital, Thanjavur</c:v>
                </c:pt>
                <c:pt idx="14">
                  <c:v>IOG, Hospital for Women &amp;Children</c:v>
                </c:pt>
                <c:pt idx="15">
                  <c:v>Kilpauk Medical College Hospital</c:v>
                </c:pt>
                <c:pt idx="16">
                  <c:v>Tirunelveli Medical College Hospital</c:v>
                </c:pt>
                <c:pt idx="17">
                  <c:v>Villupuram Medical Hospital, Villupuram</c:v>
                </c:pt>
                <c:pt idx="18">
                  <c:v>Theni Medical Hospital, Theni</c:v>
                </c:pt>
                <c:pt idx="19">
                  <c:v>Govt. Thiruvannamalai Medical College and Hospital</c:v>
                </c:pt>
                <c:pt idx="20">
                  <c:v>Govt. KasturbaGandhi Hospital</c:v>
                </c:pt>
                <c:pt idx="21">
                  <c:v>Vellore Medical Hospital</c:v>
                </c:pt>
                <c:pt idx="22">
                  <c:v>ICH for children</c:v>
                </c:pt>
                <c:pt idx="23">
                  <c:v>Thiruvarur Medical Hospital</c:v>
                </c:pt>
                <c:pt idx="24">
                  <c:v>Thanjavur Medical College Hospital</c:v>
                </c:pt>
                <c:pt idx="25">
                  <c:v>Govt. Sivagangai Medical College and Hospital</c:v>
                </c:pt>
                <c:pt idx="26">
                  <c:v>Govt. RSRM Hospital</c:v>
                </c:pt>
                <c:pt idx="27">
                  <c:v>Karur Medical College &amp; Hospital, Karur</c:v>
                </c:pt>
                <c:pt idx="28">
                  <c:v>Govt. Peripheral Hospital, Periyar Nagar</c:v>
                </c:pt>
                <c:pt idx="29">
                  <c:v>TN Multi Superspeciality Hospital, Omandurar</c:v>
                </c:pt>
                <c:pt idx="30">
                  <c:v>Govt. Thoraic Medicine, Tambaram</c:v>
                </c:pt>
                <c:pt idx="31">
                  <c:v>Pudukottai Medical College &amp; Hospital, Pudukottai</c:v>
                </c:pt>
                <c:pt idx="32">
                  <c:v>Cancer  Hospital, Karapettai</c:v>
                </c:pt>
                <c:pt idx="33">
                  <c:v>Govt Medical College &amp; ESI Hospital, Singanallur, Coimbatore</c:v>
                </c:pt>
                <c:pt idx="34">
                  <c:v>Govt. Thiruvotteswarar Hospital, Otteri</c:v>
                </c:pt>
                <c:pt idx="35">
                  <c:v>Govt. Peripheral Hospital, Anna Nagar</c:v>
                </c:pt>
                <c:pt idx="36">
                  <c:v>P.A.Ramasamy Memorial Govt Hospital, Kandiyaperi</c:v>
                </c:pt>
                <c:pt idx="37">
                  <c:v>Govt. Peripheral Hospital, Tondiarpet</c:v>
                </c:pt>
                <c:pt idx="38">
                  <c:v>Govt. Institute of Rehabilization Medicine</c:v>
                </c:pt>
                <c:pt idx="39">
                  <c:v>Govt. Balarangapuram,  Madurai</c:v>
                </c:pt>
                <c:pt idx="40">
                  <c:v>Govt. Peripheral Hospital, K.K Nagar</c:v>
                </c:pt>
              </c:strCache>
            </c:strRef>
          </c:cat>
          <c:val>
            <c:numRef>
              <c:f>'Surgeries Pivot Chart'!$B$4:$B$45</c:f>
              <c:numCache>
                <c:formatCode>General</c:formatCode>
                <c:ptCount val="41"/>
                <c:pt idx="0">
                  <c:v>400866</c:v>
                </c:pt>
                <c:pt idx="1">
                  <c:v>325723</c:v>
                </c:pt>
                <c:pt idx="2">
                  <c:v>308902</c:v>
                </c:pt>
                <c:pt idx="3">
                  <c:v>260473</c:v>
                </c:pt>
                <c:pt idx="4">
                  <c:v>255498</c:v>
                </c:pt>
                <c:pt idx="5">
                  <c:v>218554</c:v>
                </c:pt>
                <c:pt idx="6">
                  <c:v>213987</c:v>
                </c:pt>
                <c:pt idx="7">
                  <c:v>210143</c:v>
                </c:pt>
                <c:pt idx="8">
                  <c:v>171568</c:v>
                </c:pt>
                <c:pt idx="9">
                  <c:v>140708</c:v>
                </c:pt>
                <c:pt idx="10">
                  <c:v>130358</c:v>
                </c:pt>
                <c:pt idx="11">
                  <c:v>127953</c:v>
                </c:pt>
                <c:pt idx="12">
                  <c:v>117561</c:v>
                </c:pt>
                <c:pt idx="13">
                  <c:v>111191</c:v>
                </c:pt>
                <c:pt idx="14">
                  <c:v>110614</c:v>
                </c:pt>
                <c:pt idx="15">
                  <c:v>108834</c:v>
                </c:pt>
                <c:pt idx="16">
                  <c:v>96749</c:v>
                </c:pt>
                <c:pt idx="17">
                  <c:v>96361</c:v>
                </c:pt>
                <c:pt idx="18">
                  <c:v>87771</c:v>
                </c:pt>
                <c:pt idx="19">
                  <c:v>85143</c:v>
                </c:pt>
                <c:pt idx="20">
                  <c:v>85029</c:v>
                </c:pt>
                <c:pt idx="21">
                  <c:v>83037</c:v>
                </c:pt>
                <c:pt idx="22">
                  <c:v>76800</c:v>
                </c:pt>
                <c:pt idx="23">
                  <c:v>68418</c:v>
                </c:pt>
                <c:pt idx="24">
                  <c:v>61214</c:v>
                </c:pt>
                <c:pt idx="25">
                  <c:v>51543</c:v>
                </c:pt>
                <c:pt idx="26">
                  <c:v>45781</c:v>
                </c:pt>
                <c:pt idx="27">
                  <c:v>23059</c:v>
                </c:pt>
                <c:pt idx="28">
                  <c:v>21505</c:v>
                </c:pt>
                <c:pt idx="29">
                  <c:v>19070</c:v>
                </c:pt>
                <c:pt idx="30">
                  <c:v>18941</c:v>
                </c:pt>
                <c:pt idx="31">
                  <c:v>16954</c:v>
                </c:pt>
                <c:pt idx="32">
                  <c:v>10244</c:v>
                </c:pt>
                <c:pt idx="33">
                  <c:v>4012</c:v>
                </c:pt>
                <c:pt idx="34">
                  <c:v>2455</c:v>
                </c:pt>
                <c:pt idx="35">
                  <c:v>2370</c:v>
                </c:pt>
                <c:pt idx="36">
                  <c:v>1713</c:v>
                </c:pt>
                <c:pt idx="37">
                  <c:v>1606</c:v>
                </c:pt>
                <c:pt idx="38">
                  <c:v>1115</c:v>
                </c:pt>
                <c:pt idx="39">
                  <c:v>743</c:v>
                </c:pt>
                <c:pt idx="40">
                  <c:v>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78-4F98-9296-A171246EC779}"/>
            </c:ext>
          </c:extLst>
        </c:ser>
        <c:ser>
          <c:idx val="1"/>
          <c:order val="1"/>
          <c:tx>
            <c:strRef>
              <c:f>'Surgeries Pivot Chart'!$C$3</c:f>
              <c:strCache>
                <c:ptCount val="1"/>
                <c:pt idx="0">
                  <c:v>Average of Growth%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'Surgeries Pivot Chart'!$A$4:$A$45</c:f>
              <c:strCache>
                <c:ptCount val="41"/>
                <c:pt idx="0">
                  <c:v>Govt. Dental Hospital, Chennai</c:v>
                </c:pt>
                <c:pt idx="1">
                  <c:v>Govt. Rajaji Hospital, Madurai</c:v>
                </c:pt>
                <c:pt idx="2">
                  <c:v>KKMC Hospital, Aasaripallam</c:v>
                </c:pt>
                <c:pt idx="3">
                  <c:v>Dharmapuri Medical Hospital, Dharmapuri</c:v>
                </c:pt>
                <c:pt idx="4">
                  <c:v>Govt. Stanley Hospital</c:v>
                </c:pt>
                <c:pt idx="5">
                  <c:v>Chengalpattu Medical College Hospital</c:v>
                </c:pt>
                <c:pt idx="6">
                  <c:v>Rajiv Gandhi Govt. General  Hospital</c:v>
                </c:pt>
                <c:pt idx="7">
                  <c:v>Coimbatore Medical College Hospital</c:v>
                </c:pt>
                <c:pt idx="8">
                  <c:v>Govt. Mohan Kumaramangalam Hospital, Salem</c:v>
                </c:pt>
                <c:pt idx="9">
                  <c:v>RIO and Govt. Ophthalmic  Hospital </c:v>
                </c:pt>
                <c:pt idx="10">
                  <c:v>Thoothkudi Medical Hospital, Thoothukudi</c:v>
                </c:pt>
                <c:pt idx="11">
                  <c:v>Mahathma Gandhi Memorial Hospital, Trichy</c:v>
                </c:pt>
                <c:pt idx="12">
                  <c:v>Govt. Royapettah Hospital</c:v>
                </c:pt>
                <c:pt idx="13">
                  <c:v>Govt. Raja Mirasdar Hospital, Thanjavur</c:v>
                </c:pt>
                <c:pt idx="14">
                  <c:v>IOG, Hospital for Women &amp;Children</c:v>
                </c:pt>
                <c:pt idx="15">
                  <c:v>Kilpauk Medical College Hospital</c:v>
                </c:pt>
                <c:pt idx="16">
                  <c:v>Tirunelveli Medical College Hospital</c:v>
                </c:pt>
                <c:pt idx="17">
                  <c:v>Villupuram Medical Hospital, Villupuram</c:v>
                </c:pt>
                <c:pt idx="18">
                  <c:v>Theni Medical Hospital, Theni</c:v>
                </c:pt>
                <c:pt idx="19">
                  <c:v>Govt. Thiruvannamalai Medical College and Hospital</c:v>
                </c:pt>
                <c:pt idx="20">
                  <c:v>Govt. KasturbaGandhi Hospital</c:v>
                </c:pt>
                <c:pt idx="21">
                  <c:v>Vellore Medical Hospital</c:v>
                </c:pt>
                <c:pt idx="22">
                  <c:v>ICH for children</c:v>
                </c:pt>
                <c:pt idx="23">
                  <c:v>Thiruvarur Medical Hospital</c:v>
                </c:pt>
                <c:pt idx="24">
                  <c:v>Thanjavur Medical College Hospital</c:v>
                </c:pt>
                <c:pt idx="25">
                  <c:v>Govt. Sivagangai Medical College and Hospital</c:v>
                </c:pt>
                <c:pt idx="26">
                  <c:v>Govt. RSRM Hospital</c:v>
                </c:pt>
                <c:pt idx="27">
                  <c:v>Karur Medical College &amp; Hospital, Karur</c:v>
                </c:pt>
                <c:pt idx="28">
                  <c:v>Govt. Peripheral Hospital, Periyar Nagar</c:v>
                </c:pt>
                <c:pt idx="29">
                  <c:v>TN Multi Superspeciality Hospital, Omandurar</c:v>
                </c:pt>
                <c:pt idx="30">
                  <c:v>Govt. Thoraic Medicine, Tambaram</c:v>
                </c:pt>
                <c:pt idx="31">
                  <c:v>Pudukottai Medical College &amp; Hospital, Pudukottai</c:v>
                </c:pt>
                <c:pt idx="32">
                  <c:v>Cancer  Hospital, Karapettai</c:v>
                </c:pt>
                <c:pt idx="33">
                  <c:v>Govt Medical College &amp; ESI Hospital, Singanallur, Coimbatore</c:v>
                </c:pt>
                <c:pt idx="34">
                  <c:v>Govt. Thiruvotteswarar Hospital, Otteri</c:v>
                </c:pt>
                <c:pt idx="35">
                  <c:v>Govt. Peripheral Hospital, Anna Nagar</c:v>
                </c:pt>
                <c:pt idx="36">
                  <c:v>P.A.Ramasamy Memorial Govt Hospital, Kandiyaperi</c:v>
                </c:pt>
                <c:pt idx="37">
                  <c:v>Govt. Peripheral Hospital, Tondiarpet</c:v>
                </c:pt>
                <c:pt idx="38">
                  <c:v>Govt. Institute of Rehabilization Medicine</c:v>
                </c:pt>
                <c:pt idx="39">
                  <c:v>Govt. Balarangapuram,  Madurai</c:v>
                </c:pt>
                <c:pt idx="40">
                  <c:v>Govt. Peripheral Hospital, K.K Nagar</c:v>
                </c:pt>
              </c:strCache>
            </c:strRef>
          </c:cat>
          <c:val>
            <c:numRef>
              <c:f>'Surgeries Pivot Chart'!$C$4:$C$45</c:f>
              <c:numCache>
                <c:formatCode>General</c:formatCode>
                <c:ptCount val="41"/>
                <c:pt idx="0">
                  <c:v>-11.9</c:v>
                </c:pt>
                <c:pt idx="1">
                  <c:v>-5.4</c:v>
                </c:pt>
                <c:pt idx="2">
                  <c:v>155</c:v>
                </c:pt>
                <c:pt idx="3">
                  <c:v>95</c:v>
                </c:pt>
                <c:pt idx="4">
                  <c:v>20.100000000000001</c:v>
                </c:pt>
                <c:pt idx="5">
                  <c:v>141.1</c:v>
                </c:pt>
                <c:pt idx="6">
                  <c:v>1.9</c:v>
                </c:pt>
                <c:pt idx="7">
                  <c:v>179.4</c:v>
                </c:pt>
                <c:pt idx="8">
                  <c:v>-29.8</c:v>
                </c:pt>
                <c:pt idx="9">
                  <c:v>40</c:v>
                </c:pt>
                <c:pt idx="10">
                  <c:v>79.2</c:v>
                </c:pt>
                <c:pt idx="11">
                  <c:v>45.5</c:v>
                </c:pt>
                <c:pt idx="12">
                  <c:v>4.5</c:v>
                </c:pt>
                <c:pt idx="13">
                  <c:v>15.5</c:v>
                </c:pt>
                <c:pt idx="14">
                  <c:v>9</c:v>
                </c:pt>
                <c:pt idx="15">
                  <c:v>39.1</c:v>
                </c:pt>
                <c:pt idx="16">
                  <c:v>9</c:v>
                </c:pt>
                <c:pt idx="17">
                  <c:v>56.4</c:v>
                </c:pt>
                <c:pt idx="18">
                  <c:v>139.1</c:v>
                </c:pt>
                <c:pt idx="19">
                  <c:v>105.1</c:v>
                </c:pt>
                <c:pt idx="20">
                  <c:v>45.5</c:v>
                </c:pt>
                <c:pt idx="21">
                  <c:v>15.8</c:v>
                </c:pt>
                <c:pt idx="22">
                  <c:v>-15.3</c:v>
                </c:pt>
                <c:pt idx="23">
                  <c:v>255</c:v>
                </c:pt>
                <c:pt idx="24">
                  <c:v>-5.3</c:v>
                </c:pt>
                <c:pt idx="25">
                  <c:v>227.2</c:v>
                </c:pt>
                <c:pt idx="26">
                  <c:v>-29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2.2000000000000002</c:v>
                </c:pt>
                <c:pt idx="31">
                  <c:v>0</c:v>
                </c:pt>
                <c:pt idx="32">
                  <c:v>-7.9</c:v>
                </c:pt>
                <c:pt idx="33">
                  <c:v>0</c:v>
                </c:pt>
                <c:pt idx="34">
                  <c:v>103</c:v>
                </c:pt>
                <c:pt idx="35">
                  <c:v>4.5</c:v>
                </c:pt>
                <c:pt idx="36">
                  <c:v>-100</c:v>
                </c:pt>
                <c:pt idx="37">
                  <c:v>65.099999999999994</c:v>
                </c:pt>
                <c:pt idx="38">
                  <c:v>-83.9</c:v>
                </c:pt>
                <c:pt idx="39">
                  <c:v>-43.1</c:v>
                </c:pt>
                <c:pt idx="40">
                  <c:v>-6.3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78-4F98-9296-A171246EC7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98879167"/>
        <c:axId val="1098879647"/>
      </c:barChart>
      <c:catAx>
        <c:axId val="10988791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8879647"/>
        <c:crosses val="autoZero"/>
        <c:auto val="1"/>
        <c:lblAlgn val="ctr"/>
        <c:lblOffset val="100"/>
        <c:noMultiLvlLbl val="0"/>
      </c:catAx>
      <c:valAx>
        <c:axId val="10988796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8879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[TamilNadu_Healthcare_Summary (Final).xlsx]Lab_Investigations Pivot Chart!PivotTable5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'Lab_Investigations Pivot Chart'!$B$3</c:f>
              <c:strCache>
                <c:ptCount val="1"/>
                <c:pt idx="0">
                  <c:v>Sum of 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'Lab_Investigations Pivot Chart'!$A$4:$A$52</c:f>
              <c:strCache>
                <c:ptCount val="48"/>
                <c:pt idx="0">
                  <c:v>Rajiv Gandhi Govt. General Hospital</c:v>
                </c:pt>
                <c:pt idx="1">
                  <c:v>Tirunelveli Medical College Hospital</c:v>
                </c:pt>
                <c:pt idx="2">
                  <c:v>Coimbatore Medical College Hospital</c:v>
                </c:pt>
                <c:pt idx="3">
                  <c:v>Govt Stanley Hospital</c:v>
                </c:pt>
                <c:pt idx="4">
                  <c:v>Govt. M.K.M.C.Hospital, Salem</c:v>
                </c:pt>
                <c:pt idx="5">
                  <c:v>Govt. Rajaji Hospital, Madurai</c:v>
                </c:pt>
                <c:pt idx="6">
                  <c:v>Dharmapuri Medical College Hospital</c:v>
                </c:pt>
                <c:pt idx="7">
                  <c:v>I.C.H &amp; Hospital for Children</c:v>
                </c:pt>
                <c:pt idx="8">
                  <c:v>Kilpauk Medical College Hospital</c:v>
                </c:pt>
                <c:pt idx="9">
                  <c:v>Mahatma Gandhi Memorial Medical College and Hospital, Trichy</c:v>
                </c:pt>
                <c:pt idx="10">
                  <c:v>Chengalpattu Medical College Hospital</c:v>
                </c:pt>
                <c:pt idx="11">
                  <c:v>Villupuram Medical College Hospital</c:v>
                </c:pt>
                <c:pt idx="12">
                  <c:v>KKMC Hospital, Asaripallam</c:v>
                </c:pt>
                <c:pt idx="13">
                  <c:v>Theni Medical College Hospital</c:v>
                </c:pt>
                <c:pt idx="14">
                  <c:v>Sivagangai Medical College Hospital</c:v>
                </c:pt>
                <c:pt idx="15">
                  <c:v>Institute of Social Obstetrics and Kasturbha Gandhi Hospital for Women and Children</c:v>
                </c:pt>
                <c:pt idx="16">
                  <c:v>Thanjavur Medical college Hospital</c:v>
                </c:pt>
                <c:pt idx="17">
                  <c:v>Thiruvarur Medical College Hospital</c:v>
                </c:pt>
                <c:pt idx="18">
                  <c:v>Govt. Thiruvannamalai Medical College Hospital</c:v>
                </c:pt>
                <c:pt idx="19">
                  <c:v>Vellore Medical College Hospital</c:v>
                </c:pt>
                <c:pt idx="20">
                  <c:v>Thoothukudi Medical College Hospital</c:v>
                </c:pt>
                <c:pt idx="21">
                  <c:v>Govt. Hospital of Thoraic Medicine, Tambaram</c:v>
                </c:pt>
                <c:pt idx="22">
                  <c:v>Institute of Non communicable  Diseases &amp; Govt. Royapettah Hospital </c:v>
                </c:pt>
                <c:pt idx="23">
                  <c:v>I.O.G and Hospital for Women &amp; Children</c:v>
                </c:pt>
                <c:pt idx="24">
                  <c:v>Govt Peripheral Hospital, Anna nagar</c:v>
                </c:pt>
                <c:pt idx="25">
                  <c:v>Tamil Nadu Multi Superspeciality Hospital, Omandurar</c:v>
                </c:pt>
                <c:pt idx="26">
                  <c:v>Govt. Raja Mirasdar Hospital, Tanjavur</c:v>
                </c:pt>
                <c:pt idx="27">
                  <c:v>Govt. R.S.R.M. Hospital</c:v>
                </c:pt>
                <c:pt idx="28">
                  <c:v>Karur Medical college &amp; Hospital, Karur</c:v>
                </c:pt>
                <c:pt idx="29">
                  <c:v>Pudukottai Medical college &amp; Hospital </c:v>
                </c:pt>
                <c:pt idx="30">
                  <c:v>Institute of Thoraic Medicine, Chetpet, Chennai</c:v>
                </c:pt>
                <c:pt idx="31">
                  <c:v>Arignar Anna Memorial Cancer Hospital, Karapettai, Kancheepuram</c:v>
                </c:pt>
                <c:pt idx="32">
                  <c:v>Institute of Mental Health</c:v>
                </c:pt>
                <c:pt idx="33">
                  <c:v>Govt Medical College &amp; ESI Hospital, Singanallur, Coimbatore</c:v>
                </c:pt>
                <c:pt idx="34">
                  <c:v>Govt. Peripheral, Tondiarpet</c:v>
                </c:pt>
                <c:pt idx="35">
                  <c:v>Govt. Ophthalmic Hospital</c:v>
                </c:pt>
                <c:pt idx="36">
                  <c:v>Govt. Peripheral,  Periyar nagar</c:v>
                </c:pt>
                <c:pt idx="37">
                  <c:v>Govt. Dental  Hospital, Chennai</c:v>
                </c:pt>
                <c:pt idx="38">
                  <c:v>Govt. Peripheral, K.K.Nagar</c:v>
                </c:pt>
                <c:pt idx="39">
                  <c:v>Govt. Thiruvotteswarar Hospital for Thoraic Medicine, Otteri</c:v>
                </c:pt>
                <c:pt idx="40">
                  <c:v>Govt. Hospital, Balarangapuram, Madurai</c:v>
                </c:pt>
                <c:pt idx="41">
                  <c:v>Govt.Hospital for Thoracic Medicine, Thoppur</c:v>
                </c:pt>
                <c:pt idx="42">
                  <c:v>P.A.Ramasamy Memorial Govt. Hospital, Kandiaperi</c:v>
                </c:pt>
                <c:pt idx="43">
                  <c:v>Govt. Rajaji T.B.Hospital, Trichy</c:v>
                </c:pt>
                <c:pt idx="44">
                  <c:v>Arignat Anna Memorial Cancer Institute, Kancheepuram</c:v>
                </c:pt>
                <c:pt idx="45">
                  <c:v>Govt. Institute of Rehabitation Medicine &amp; ALC, KK nagar</c:v>
                </c:pt>
                <c:pt idx="46">
                  <c:v>Govt. High Court Dispensary, Chennai</c:v>
                </c:pt>
                <c:pt idx="47">
                  <c:v>Infectious Diseases Hospital, Thoppur</c:v>
                </c:pt>
              </c:strCache>
            </c:strRef>
          </c:cat>
          <c:val>
            <c:numRef>
              <c:f>'Lab_Investigations Pivot Chart'!$B$4:$B$52</c:f>
              <c:numCache>
                <c:formatCode>General</c:formatCode>
                <c:ptCount val="48"/>
                <c:pt idx="0">
                  <c:v>22596085</c:v>
                </c:pt>
                <c:pt idx="1">
                  <c:v>15419108</c:v>
                </c:pt>
                <c:pt idx="2">
                  <c:v>12273516</c:v>
                </c:pt>
                <c:pt idx="3">
                  <c:v>10311972</c:v>
                </c:pt>
                <c:pt idx="4">
                  <c:v>9806970</c:v>
                </c:pt>
                <c:pt idx="5">
                  <c:v>8743188</c:v>
                </c:pt>
                <c:pt idx="6">
                  <c:v>7193799</c:v>
                </c:pt>
                <c:pt idx="7">
                  <c:v>7077091</c:v>
                </c:pt>
                <c:pt idx="8">
                  <c:v>7051024</c:v>
                </c:pt>
                <c:pt idx="9">
                  <c:v>6737267</c:v>
                </c:pt>
                <c:pt idx="10">
                  <c:v>6074846</c:v>
                </c:pt>
                <c:pt idx="11">
                  <c:v>6068714</c:v>
                </c:pt>
                <c:pt idx="12">
                  <c:v>5626959</c:v>
                </c:pt>
                <c:pt idx="13">
                  <c:v>5034101</c:v>
                </c:pt>
                <c:pt idx="14">
                  <c:v>4604965</c:v>
                </c:pt>
                <c:pt idx="15">
                  <c:v>4212717</c:v>
                </c:pt>
                <c:pt idx="16">
                  <c:v>4138199</c:v>
                </c:pt>
                <c:pt idx="17">
                  <c:v>4132024</c:v>
                </c:pt>
                <c:pt idx="18">
                  <c:v>3962869</c:v>
                </c:pt>
                <c:pt idx="19">
                  <c:v>3764439</c:v>
                </c:pt>
                <c:pt idx="20">
                  <c:v>3489897</c:v>
                </c:pt>
                <c:pt idx="21">
                  <c:v>3157408</c:v>
                </c:pt>
                <c:pt idx="22">
                  <c:v>3054079</c:v>
                </c:pt>
                <c:pt idx="23">
                  <c:v>2554075</c:v>
                </c:pt>
                <c:pt idx="24">
                  <c:v>1986994</c:v>
                </c:pt>
                <c:pt idx="25">
                  <c:v>1742514</c:v>
                </c:pt>
                <c:pt idx="26">
                  <c:v>1642683</c:v>
                </c:pt>
                <c:pt idx="27">
                  <c:v>1298393</c:v>
                </c:pt>
                <c:pt idx="28">
                  <c:v>1112399</c:v>
                </c:pt>
                <c:pt idx="29">
                  <c:v>771685</c:v>
                </c:pt>
                <c:pt idx="30">
                  <c:v>607006</c:v>
                </c:pt>
                <c:pt idx="31">
                  <c:v>593070</c:v>
                </c:pt>
                <c:pt idx="32">
                  <c:v>508464</c:v>
                </c:pt>
                <c:pt idx="33">
                  <c:v>448640</c:v>
                </c:pt>
                <c:pt idx="34">
                  <c:v>421173</c:v>
                </c:pt>
                <c:pt idx="35">
                  <c:v>351087</c:v>
                </c:pt>
                <c:pt idx="36">
                  <c:v>335649</c:v>
                </c:pt>
                <c:pt idx="37">
                  <c:v>275241</c:v>
                </c:pt>
                <c:pt idx="38">
                  <c:v>274909</c:v>
                </c:pt>
                <c:pt idx="39">
                  <c:v>272773</c:v>
                </c:pt>
                <c:pt idx="40">
                  <c:v>88805</c:v>
                </c:pt>
                <c:pt idx="41">
                  <c:v>79709</c:v>
                </c:pt>
                <c:pt idx="42">
                  <c:v>39710</c:v>
                </c:pt>
                <c:pt idx="43">
                  <c:v>36556</c:v>
                </c:pt>
                <c:pt idx="44">
                  <c:v>23708</c:v>
                </c:pt>
                <c:pt idx="45">
                  <c:v>7374</c:v>
                </c:pt>
                <c:pt idx="46">
                  <c:v>898</c:v>
                </c:pt>
                <c:pt idx="47">
                  <c:v>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0A-48A7-872B-FAD12941C7A2}"/>
            </c:ext>
          </c:extLst>
        </c:ser>
        <c:ser>
          <c:idx val="1"/>
          <c:order val="1"/>
          <c:tx>
            <c:strRef>
              <c:f>'Lab_Investigations Pivot Chart'!$C$3</c:f>
              <c:strCache>
                <c:ptCount val="1"/>
                <c:pt idx="0">
                  <c:v>Average of Growth%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'Lab_Investigations Pivot Chart'!$A$4:$A$52</c:f>
              <c:strCache>
                <c:ptCount val="48"/>
                <c:pt idx="0">
                  <c:v>Rajiv Gandhi Govt. General Hospital</c:v>
                </c:pt>
                <c:pt idx="1">
                  <c:v>Tirunelveli Medical College Hospital</c:v>
                </c:pt>
                <c:pt idx="2">
                  <c:v>Coimbatore Medical College Hospital</c:v>
                </c:pt>
                <c:pt idx="3">
                  <c:v>Govt Stanley Hospital</c:v>
                </c:pt>
                <c:pt idx="4">
                  <c:v>Govt. M.K.M.C.Hospital, Salem</c:v>
                </c:pt>
                <c:pt idx="5">
                  <c:v>Govt. Rajaji Hospital, Madurai</c:v>
                </c:pt>
                <c:pt idx="6">
                  <c:v>Dharmapuri Medical College Hospital</c:v>
                </c:pt>
                <c:pt idx="7">
                  <c:v>I.C.H &amp; Hospital for Children</c:v>
                </c:pt>
                <c:pt idx="8">
                  <c:v>Kilpauk Medical College Hospital</c:v>
                </c:pt>
                <c:pt idx="9">
                  <c:v>Mahatma Gandhi Memorial Medical College and Hospital, Trichy</c:v>
                </c:pt>
                <c:pt idx="10">
                  <c:v>Chengalpattu Medical College Hospital</c:v>
                </c:pt>
                <c:pt idx="11">
                  <c:v>Villupuram Medical College Hospital</c:v>
                </c:pt>
                <c:pt idx="12">
                  <c:v>KKMC Hospital, Asaripallam</c:v>
                </c:pt>
                <c:pt idx="13">
                  <c:v>Theni Medical College Hospital</c:v>
                </c:pt>
                <c:pt idx="14">
                  <c:v>Sivagangai Medical College Hospital</c:v>
                </c:pt>
                <c:pt idx="15">
                  <c:v>Institute of Social Obstetrics and Kasturbha Gandhi Hospital for Women and Children</c:v>
                </c:pt>
                <c:pt idx="16">
                  <c:v>Thanjavur Medical college Hospital</c:v>
                </c:pt>
                <c:pt idx="17">
                  <c:v>Thiruvarur Medical College Hospital</c:v>
                </c:pt>
                <c:pt idx="18">
                  <c:v>Govt. Thiruvannamalai Medical College Hospital</c:v>
                </c:pt>
                <c:pt idx="19">
                  <c:v>Vellore Medical College Hospital</c:v>
                </c:pt>
                <c:pt idx="20">
                  <c:v>Thoothukudi Medical College Hospital</c:v>
                </c:pt>
                <c:pt idx="21">
                  <c:v>Govt. Hospital of Thoraic Medicine, Tambaram</c:v>
                </c:pt>
                <c:pt idx="22">
                  <c:v>Institute of Non communicable  Diseases &amp; Govt. Royapettah Hospital </c:v>
                </c:pt>
                <c:pt idx="23">
                  <c:v>I.O.G and Hospital for Women &amp; Children</c:v>
                </c:pt>
                <c:pt idx="24">
                  <c:v>Govt Peripheral Hospital, Anna nagar</c:v>
                </c:pt>
                <c:pt idx="25">
                  <c:v>Tamil Nadu Multi Superspeciality Hospital, Omandurar</c:v>
                </c:pt>
                <c:pt idx="26">
                  <c:v>Govt. Raja Mirasdar Hospital, Tanjavur</c:v>
                </c:pt>
                <c:pt idx="27">
                  <c:v>Govt. R.S.R.M. Hospital</c:v>
                </c:pt>
                <c:pt idx="28">
                  <c:v>Karur Medical college &amp; Hospital, Karur</c:v>
                </c:pt>
                <c:pt idx="29">
                  <c:v>Pudukottai Medical college &amp; Hospital </c:v>
                </c:pt>
                <c:pt idx="30">
                  <c:v>Institute of Thoraic Medicine, Chetpet, Chennai</c:v>
                </c:pt>
                <c:pt idx="31">
                  <c:v>Arignar Anna Memorial Cancer Hospital, Karapettai, Kancheepuram</c:v>
                </c:pt>
                <c:pt idx="32">
                  <c:v>Institute of Mental Health</c:v>
                </c:pt>
                <c:pt idx="33">
                  <c:v>Govt Medical College &amp; ESI Hospital, Singanallur, Coimbatore</c:v>
                </c:pt>
                <c:pt idx="34">
                  <c:v>Govt. Peripheral, Tondiarpet</c:v>
                </c:pt>
                <c:pt idx="35">
                  <c:v>Govt. Ophthalmic Hospital</c:v>
                </c:pt>
                <c:pt idx="36">
                  <c:v>Govt. Peripheral,  Periyar nagar</c:v>
                </c:pt>
                <c:pt idx="37">
                  <c:v>Govt. Dental  Hospital, Chennai</c:v>
                </c:pt>
                <c:pt idx="38">
                  <c:v>Govt. Peripheral, K.K.Nagar</c:v>
                </c:pt>
                <c:pt idx="39">
                  <c:v>Govt. Thiruvotteswarar Hospital for Thoraic Medicine, Otteri</c:v>
                </c:pt>
                <c:pt idx="40">
                  <c:v>Govt. Hospital, Balarangapuram, Madurai</c:v>
                </c:pt>
                <c:pt idx="41">
                  <c:v>Govt.Hospital for Thoracic Medicine, Thoppur</c:v>
                </c:pt>
                <c:pt idx="42">
                  <c:v>P.A.Ramasamy Memorial Govt. Hospital, Kandiaperi</c:v>
                </c:pt>
                <c:pt idx="43">
                  <c:v>Govt. Rajaji T.B.Hospital, Trichy</c:v>
                </c:pt>
                <c:pt idx="44">
                  <c:v>Arignat Anna Memorial Cancer Institute, Kancheepuram</c:v>
                </c:pt>
                <c:pt idx="45">
                  <c:v>Govt. Institute of Rehabitation Medicine &amp; ALC, KK nagar</c:v>
                </c:pt>
                <c:pt idx="46">
                  <c:v>Govt. High Court Dispensary, Chennai</c:v>
                </c:pt>
                <c:pt idx="47">
                  <c:v>Infectious Diseases Hospital, Thoppur</c:v>
                </c:pt>
              </c:strCache>
            </c:strRef>
          </c:cat>
          <c:val>
            <c:numRef>
              <c:f>'Lab_Investigations Pivot Chart'!$C$4:$C$52</c:f>
              <c:numCache>
                <c:formatCode>General</c:formatCode>
                <c:ptCount val="48"/>
                <c:pt idx="0">
                  <c:v>63.3</c:v>
                </c:pt>
                <c:pt idx="1">
                  <c:v>44</c:v>
                </c:pt>
                <c:pt idx="2">
                  <c:v>71.2</c:v>
                </c:pt>
                <c:pt idx="3">
                  <c:v>89.1</c:v>
                </c:pt>
                <c:pt idx="4">
                  <c:v>132.6</c:v>
                </c:pt>
                <c:pt idx="5">
                  <c:v>20.399999999999999</c:v>
                </c:pt>
                <c:pt idx="6">
                  <c:v>51.7</c:v>
                </c:pt>
                <c:pt idx="7">
                  <c:v>112.6</c:v>
                </c:pt>
                <c:pt idx="8">
                  <c:v>78.5</c:v>
                </c:pt>
                <c:pt idx="9">
                  <c:v>69.2</c:v>
                </c:pt>
                <c:pt idx="10">
                  <c:v>112.8</c:v>
                </c:pt>
                <c:pt idx="11">
                  <c:v>294.10000000000002</c:v>
                </c:pt>
                <c:pt idx="12">
                  <c:v>17.399999999999999</c:v>
                </c:pt>
                <c:pt idx="13">
                  <c:v>18</c:v>
                </c:pt>
                <c:pt idx="14">
                  <c:v>346.3</c:v>
                </c:pt>
                <c:pt idx="15">
                  <c:v>52.3</c:v>
                </c:pt>
                <c:pt idx="16">
                  <c:v>125.4</c:v>
                </c:pt>
                <c:pt idx="17">
                  <c:v>174.7</c:v>
                </c:pt>
                <c:pt idx="18">
                  <c:v>445.2</c:v>
                </c:pt>
                <c:pt idx="19">
                  <c:v>14.2</c:v>
                </c:pt>
                <c:pt idx="20">
                  <c:v>86.1</c:v>
                </c:pt>
                <c:pt idx="21">
                  <c:v>19.2</c:v>
                </c:pt>
                <c:pt idx="22">
                  <c:v>82.8</c:v>
                </c:pt>
                <c:pt idx="23">
                  <c:v>41.5</c:v>
                </c:pt>
                <c:pt idx="24">
                  <c:v>38.1</c:v>
                </c:pt>
                <c:pt idx="25">
                  <c:v>0</c:v>
                </c:pt>
                <c:pt idx="26">
                  <c:v>18.7</c:v>
                </c:pt>
                <c:pt idx="27">
                  <c:v>109.4</c:v>
                </c:pt>
                <c:pt idx="28">
                  <c:v>0</c:v>
                </c:pt>
                <c:pt idx="29">
                  <c:v>0</c:v>
                </c:pt>
                <c:pt idx="30">
                  <c:v>49.4</c:v>
                </c:pt>
                <c:pt idx="31">
                  <c:v>51.4</c:v>
                </c:pt>
                <c:pt idx="32">
                  <c:v>-29.5</c:v>
                </c:pt>
                <c:pt idx="33">
                  <c:v>0</c:v>
                </c:pt>
                <c:pt idx="34">
                  <c:v>37.9</c:v>
                </c:pt>
                <c:pt idx="35">
                  <c:v>29</c:v>
                </c:pt>
                <c:pt idx="36">
                  <c:v>0</c:v>
                </c:pt>
                <c:pt idx="37">
                  <c:v>52.7</c:v>
                </c:pt>
                <c:pt idx="38">
                  <c:v>98.5</c:v>
                </c:pt>
                <c:pt idx="39">
                  <c:v>4.5999999999999996</c:v>
                </c:pt>
                <c:pt idx="40">
                  <c:v>-43.5</c:v>
                </c:pt>
                <c:pt idx="41">
                  <c:v>-37.200000000000003</c:v>
                </c:pt>
                <c:pt idx="42">
                  <c:v>-45.3</c:v>
                </c:pt>
                <c:pt idx="43">
                  <c:v>2.2999999999999998</c:v>
                </c:pt>
                <c:pt idx="44">
                  <c:v>80.099999999999994</c:v>
                </c:pt>
                <c:pt idx="45">
                  <c:v>-49.4</c:v>
                </c:pt>
                <c:pt idx="46">
                  <c:v>-91.8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0A-48A7-872B-FAD12941C7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71229103"/>
        <c:axId val="1271228143"/>
      </c:barChart>
      <c:catAx>
        <c:axId val="12712291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228143"/>
        <c:crosses val="autoZero"/>
        <c:auto val="1"/>
        <c:lblAlgn val="ctr"/>
        <c:lblOffset val="100"/>
        <c:noMultiLvlLbl val="0"/>
      </c:catAx>
      <c:valAx>
        <c:axId val="1271228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229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[TamilNadu_Healthcare_Summary (Final).xlsx]Outpatient Pivot Chart!PivotTable2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'Outpatient Pivot Chart'!$B$3</c:f>
              <c:strCache>
                <c:ptCount val="1"/>
                <c:pt idx="0">
                  <c:v>Sum of 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'Outpatient Pivot Chart'!$A$4:$A$63</c:f>
              <c:strCache>
                <c:ptCount val="59"/>
                <c:pt idx="0">
                  <c:v>Rajiv Gandhi Govt. General Hospital, Chennai 3</c:v>
                </c:pt>
                <c:pt idx="1">
                  <c:v>Govt. Rajaji Hospital, Madurai</c:v>
                </c:pt>
                <c:pt idx="2">
                  <c:v>Govt Stanley Hospital, Chennai</c:v>
                </c:pt>
                <c:pt idx="3">
                  <c:v>Coimbatore Medical College Hospital</c:v>
                </c:pt>
                <c:pt idx="4">
                  <c:v>Govt. Mohan Kumaramangalam Medical College and Hospital, Salem</c:v>
                </c:pt>
                <c:pt idx="5">
                  <c:v>Tirunelveli Medical College Hospital</c:v>
                </c:pt>
                <c:pt idx="6">
                  <c:v>Chengalpattu Medical College Hospital</c:v>
                </c:pt>
                <c:pt idx="7">
                  <c:v>Mahatma Gandhi Memorial Medical College Hospital, Trichy</c:v>
                </c:pt>
                <c:pt idx="8">
                  <c:v>Thanjavur Medical College Hospital</c:v>
                </c:pt>
                <c:pt idx="9">
                  <c:v>Govt Kilpauk Medical College Hospital</c:v>
                </c:pt>
                <c:pt idx="10">
                  <c:v>Institute of Non Comm Dis. &amp; Govt Royapettah Hospital</c:v>
                </c:pt>
                <c:pt idx="11">
                  <c:v>Govt. Thiruvannamalai Medical College Hospital</c:v>
                </c:pt>
                <c:pt idx="12">
                  <c:v>KKMC Hospital, Asaripallam</c:v>
                </c:pt>
                <c:pt idx="13">
                  <c:v>Dharmapuri Medical College Hospital</c:v>
                </c:pt>
                <c:pt idx="14">
                  <c:v>Villupuram Medical College Hospital</c:v>
                </c:pt>
                <c:pt idx="15">
                  <c:v>Vellore Medical College Hospital</c:v>
                </c:pt>
                <c:pt idx="16">
                  <c:v>Theni Medical College Hospital</c:v>
                </c:pt>
                <c:pt idx="17">
                  <c:v>I.C.H &amp; Hospital for Children</c:v>
                </c:pt>
                <c:pt idx="18">
                  <c:v>Thoothukudi Medical College Hospital</c:v>
                </c:pt>
                <c:pt idx="19">
                  <c:v>Govt. Raja Mirasdar Hospital, Tanjavur</c:v>
                </c:pt>
                <c:pt idx="20">
                  <c:v>Karur Medical College &amp; Hospital,  Karur</c:v>
                </c:pt>
                <c:pt idx="21">
                  <c:v>Govt. Sivagangai Medical College and Hospital</c:v>
                </c:pt>
                <c:pt idx="22">
                  <c:v>Thiruvarur Medical College Hospital</c:v>
                </c:pt>
                <c:pt idx="23">
                  <c:v>Govt. Peripheral.Hospital, K.K.Nagar</c:v>
                </c:pt>
                <c:pt idx="24">
                  <c:v>Inst of Social Obst. &amp; Govt. KGH, Chennai</c:v>
                </c:pt>
                <c:pt idx="25">
                  <c:v>Govt. Peripheral.Hospital, Tondiarpet</c:v>
                </c:pt>
                <c:pt idx="26">
                  <c:v>Govt. Peripheral.Hospital, Anna Nagar</c:v>
                </c:pt>
                <c:pt idx="27">
                  <c:v>Govt. Dental College Hospital, 350823</c:v>
                </c:pt>
                <c:pt idx="28">
                  <c:v>RIO &amp;Govt. Ophthalmic Hospital</c:v>
                </c:pt>
                <c:pt idx="29">
                  <c:v>Pudukottai Medical College &amp; Hospital ,Pudukottai</c:v>
                </c:pt>
                <c:pt idx="30">
                  <c:v>Govt. Peripheral.Hospital., Periyar Nagar</c:v>
                </c:pt>
                <c:pt idx="31">
                  <c:v>Institute of Thoraic Medicine,  Chetpet</c:v>
                </c:pt>
                <c:pt idx="32">
                  <c:v>Govt Hospital of Thoraic Medicine, Tambaram</c:v>
                </c:pt>
                <c:pt idx="33">
                  <c:v>Govt. Hospital, Balarangapuram, Madurai</c:v>
                </c:pt>
                <c:pt idx="34">
                  <c:v>I.O.G  Hospital for Women &amp; Children</c:v>
                </c:pt>
                <c:pt idx="35">
                  <c:v>Institute of Mental Health</c:v>
                </c:pt>
                <c:pt idx="36">
                  <c:v>P.A.Ramasamy Memorial Govt. Hospital, Kandiaperi</c:v>
                </c:pt>
                <c:pt idx="37">
                  <c:v>Multisuper Speciality Hospital, Omandurar Govt Estate</c:v>
                </c:pt>
                <c:pt idx="38">
                  <c:v>Govt. R.S.R.M. Hospital, Chennai</c:v>
                </c:pt>
                <c:pt idx="39">
                  <c:v>Govt. Institute of Rehab Medical KK nagar, Chennai</c:v>
                </c:pt>
                <c:pt idx="40">
                  <c:v>Govt. Thiruvotteswarar  Hospital of Thoraic Medicine, Otteri Chennai</c:v>
                </c:pt>
                <c:pt idx="41">
                  <c:v>Govt Medical College &amp; ESI Hospital, Singanallur, coimbatore</c:v>
                </c:pt>
                <c:pt idx="42">
                  <c:v>Secretariat Dispensary, chennai</c:v>
                </c:pt>
                <c:pt idx="43">
                  <c:v>Govt. Rajaji T.B. Hospital, Trichy</c:v>
                </c:pt>
                <c:pt idx="44">
                  <c:v>Cancer Hospital, Karapettai, KPM</c:v>
                </c:pt>
                <c:pt idx="45">
                  <c:v>Govt. High Court Dispensary, Chennai</c:v>
                </c:pt>
                <c:pt idx="46">
                  <c:v>Chepauk Dispensary, Chennai</c:v>
                </c:pt>
                <c:pt idx="47">
                  <c:v>College of Physiotherapy, Trichy</c:v>
                </c:pt>
                <c:pt idx="48">
                  <c:v>Govt. High Court Dispensary, Madurai</c:v>
                </c:pt>
                <c:pt idx="49">
                  <c:v>Cancer Institute, Kanchipuram</c:v>
                </c:pt>
                <c:pt idx="50">
                  <c:v>Govt press Dispensary, Chennai</c:v>
                </c:pt>
                <c:pt idx="51">
                  <c:v>Tot Hunter Nagar Dispensary, Chennai</c:v>
                </c:pt>
                <c:pt idx="52">
                  <c:v>Raj Bhavan Dispensary, chennai</c:v>
                </c:pt>
                <c:pt idx="53">
                  <c:v>MLA Hostel Dispensary, chennai</c:v>
                </c:pt>
                <c:pt idx="54">
                  <c:v>DPI Complex Dispensary, Chennai</c:v>
                </c:pt>
                <c:pt idx="55">
                  <c:v>Modern Medicine Dispensary, Chennai</c:v>
                </c:pt>
                <c:pt idx="56">
                  <c:v>Govt.Dispensary, Queen Mary's College, chennai</c:v>
                </c:pt>
                <c:pt idx="57">
                  <c:v>Infectious Diseases Hospital, Thoppur</c:v>
                </c:pt>
                <c:pt idx="58">
                  <c:v>Cholera Collegeegeection Centre, Thoppur</c:v>
                </c:pt>
              </c:strCache>
            </c:strRef>
          </c:cat>
          <c:val>
            <c:numRef>
              <c:f>'Outpatient Pivot Chart'!$B$4:$B$63</c:f>
              <c:numCache>
                <c:formatCode>General</c:formatCode>
                <c:ptCount val="59"/>
                <c:pt idx="0">
                  <c:v>13927388</c:v>
                </c:pt>
                <c:pt idx="1">
                  <c:v>12943588</c:v>
                </c:pt>
                <c:pt idx="2">
                  <c:v>12366115</c:v>
                </c:pt>
                <c:pt idx="3">
                  <c:v>9077395</c:v>
                </c:pt>
                <c:pt idx="4">
                  <c:v>7794788</c:v>
                </c:pt>
                <c:pt idx="5">
                  <c:v>6482843</c:v>
                </c:pt>
                <c:pt idx="6">
                  <c:v>5758826</c:v>
                </c:pt>
                <c:pt idx="7">
                  <c:v>5140453</c:v>
                </c:pt>
                <c:pt idx="8">
                  <c:v>5064546</c:v>
                </c:pt>
                <c:pt idx="9">
                  <c:v>4630520</c:v>
                </c:pt>
                <c:pt idx="10">
                  <c:v>4320081</c:v>
                </c:pt>
                <c:pt idx="11">
                  <c:v>4170036</c:v>
                </c:pt>
                <c:pt idx="12">
                  <c:v>3833993</c:v>
                </c:pt>
                <c:pt idx="13">
                  <c:v>3810993</c:v>
                </c:pt>
                <c:pt idx="14">
                  <c:v>3792370</c:v>
                </c:pt>
                <c:pt idx="15">
                  <c:v>3500673</c:v>
                </c:pt>
                <c:pt idx="16">
                  <c:v>2926074</c:v>
                </c:pt>
                <c:pt idx="17">
                  <c:v>2923851</c:v>
                </c:pt>
                <c:pt idx="18">
                  <c:v>2822826</c:v>
                </c:pt>
                <c:pt idx="19">
                  <c:v>2572469</c:v>
                </c:pt>
                <c:pt idx="20">
                  <c:v>2184652</c:v>
                </c:pt>
                <c:pt idx="21">
                  <c:v>2098398</c:v>
                </c:pt>
                <c:pt idx="22">
                  <c:v>2033129</c:v>
                </c:pt>
                <c:pt idx="23">
                  <c:v>1864185</c:v>
                </c:pt>
                <c:pt idx="24">
                  <c:v>1805517</c:v>
                </c:pt>
                <c:pt idx="25">
                  <c:v>1456703</c:v>
                </c:pt>
                <c:pt idx="26">
                  <c:v>1375627</c:v>
                </c:pt>
                <c:pt idx="27">
                  <c:v>1335045</c:v>
                </c:pt>
                <c:pt idx="28">
                  <c:v>1290162</c:v>
                </c:pt>
                <c:pt idx="29">
                  <c:v>1134913</c:v>
                </c:pt>
                <c:pt idx="30">
                  <c:v>1134111</c:v>
                </c:pt>
                <c:pt idx="31">
                  <c:v>962203</c:v>
                </c:pt>
                <c:pt idx="32">
                  <c:v>895979</c:v>
                </c:pt>
                <c:pt idx="33">
                  <c:v>879714</c:v>
                </c:pt>
                <c:pt idx="34">
                  <c:v>768223</c:v>
                </c:pt>
                <c:pt idx="35">
                  <c:v>644010</c:v>
                </c:pt>
                <c:pt idx="36">
                  <c:v>576722</c:v>
                </c:pt>
                <c:pt idx="37">
                  <c:v>512863</c:v>
                </c:pt>
                <c:pt idx="38">
                  <c:v>434876</c:v>
                </c:pt>
                <c:pt idx="39">
                  <c:v>415970</c:v>
                </c:pt>
                <c:pt idx="40">
                  <c:v>355741</c:v>
                </c:pt>
                <c:pt idx="41">
                  <c:v>324518</c:v>
                </c:pt>
                <c:pt idx="42">
                  <c:v>268046</c:v>
                </c:pt>
                <c:pt idx="43">
                  <c:v>178114</c:v>
                </c:pt>
                <c:pt idx="44">
                  <c:v>145972</c:v>
                </c:pt>
                <c:pt idx="45">
                  <c:v>102006</c:v>
                </c:pt>
                <c:pt idx="46">
                  <c:v>99646</c:v>
                </c:pt>
                <c:pt idx="47">
                  <c:v>74182</c:v>
                </c:pt>
                <c:pt idx="48">
                  <c:v>55992</c:v>
                </c:pt>
                <c:pt idx="49">
                  <c:v>52140</c:v>
                </c:pt>
                <c:pt idx="50">
                  <c:v>50680</c:v>
                </c:pt>
                <c:pt idx="51">
                  <c:v>48342</c:v>
                </c:pt>
                <c:pt idx="52">
                  <c:v>45839</c:v>
                </c:pt>
                <c:pt idx="53">
                  <c:v>42560</c:v>
                </c:pt>
                <c:pt idx="54">
                  <c:v>30362</c:v>
                </c:pt>
                <c:pt idx="55">
                  <c:v>19822</c:v>
                </c:pt>
                <c:pt idx="56">
                  <c:v>15161</c:v>
                </c:pt>
                <c:pt idx="57">
                  <c:v>0</c:v>
                </c:pt>
                <c:pt idx="5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40-40F1-A8F3-0BC1FB43DFA8}"/>
            </c:ext>
          </c:extLst>
        </c:ser>
        <c:ser>
          <c:idx val="1"/>
          <c:order val="1"/>
          <c:tx>
            <c:strRef>
              <c:f>'Outpatient Pivot Chart'!$C$3</c:f>
              <c:strCache>
                <c:ptCount val="1"/>
                <c:pt idx="0">
                  <c:v>Average of Growth%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'Outpatient Pivot Chart'!$A$4:$A$63</c:f>
              <c:strCache>
                <c:ptCount val="59"/>
                <c:pt idx="0">
                  <c:v>Rajiv Gandhi Govt. General Hospital, Chennai 3</c:v>
                </c:pt>
                <c:pt idx="1">
                  <c:v>Govt. Rajaji Hospital, Madurai</c:v>
                </c:pt>
                <c:pt idx="2">
                  <c:v>Govt Stanley Hospital, Chennai</c:v>
                </c:pt>
                <c:pt idx="3">
                  <c:v>Coimbatore Medical College Hospital</c:v>
                </c:pt>
                <c:pt idx="4">
                  <c:v>Govt. Mohan Kumaramangalam Medical College and Hospital, Salem</c:v>
                </c:pt>
                <c:pt idx="5">
                  <c:v>Tirunelveli Medical College Hospital</c:v>
                </c:pt>
                <c:pt idx="6">
                  <c:v>Chengalpattu Medical College Hospital</c:v>
                </c:pt>
                <c:pt idx="7">
                  <c:v>Mahatma Gandhi Memorial Medical College Hospital, Trichy</c:v>
                </c:pt>
                <c:pt idx="8">
                  <c:v>Thanjavur Medical College Hospital</c:v>
                </c:pt>
                <c:pt idx="9">
                  <c:v>Govt Kilpauk Medical College Hospital</c:v>
                </c:pt>
                <c:pt idx="10">
                  <c:v>Institute of Non Comm Dis. &amp; Govt Royapettah Hospital</c:v>
                </c:pt>
                <c:pt idx="11">
                  <c:v>Govt. Thiruvannamalai Medical College Hospital</c:v>
                </c:pt>
                <c:pt idx="12">
                  <c:v>KKMC Hospital, Asaripallam</c:v>
                </c:pt>
                <c:pt idx="13">
                  <c:v>Dharmapuri Medical College Hospital</c:v>
                </c:pt>
                <c:pt idx="14">
                  <c:v>Villupuram Medical College Hospital</c:v>
                </c:pt>
                <c:pt idx="15">
                  <c:v>Vellore Medical College Hospital</c:v>
                </c:pt>
                <c:pt idx="16">
                  <c:v>Theni Medical College Hospital</c:v>
                </c:pt>
                <c:pt idx="17">
                  <c:v>I.C.H &amp; Hospital for Children</c:v>
                </c:pt>
                <c:pt idx="18">
                  <c:v>Thoothukudi Medical College Hospital</c:v>
                </c:pt>
                <c:pt idx="19">
                  <c:v>Govt. Raja Mirasdar Hospital, Tanjavur</c:v>
                </c:pt>
                <c:pt idx="20">
                  <c:v>Karur Medical College &amp; Hospital,  Karur</c:v>
                </c:pt>
                <c:pt idx="21">
                  <c:v>Govt. Sivagangai Medical College and Hospital</c:v>
                </c:pt>
                <c:pt idx="22">
                  <c:v>Thiruvarur Medical College Hospital</c:v>
                </c:pt>
                <c:pt idx="23">
                  <c:v>Govt. Peripheral.Hospital, K.K.Nagar</c:v>
                </c:pt>
                <c:pt idx="24">
                  <c:v>Inst of Social Obst. &amp; Govt. KGH, Chennai</c:v>
                </c:pt>
                <c:pt idx="25">
                  <c:v>Govt. Peripheral.Hospital, Tondiarpet</c:v>
                </c:pt>
                <c:pt idx="26">
                  <c:v>Govt. Peripheral.Hospital, Anna Nagar</c:v>
                </c:pt>
                <c:pt idx="27">
                  <c:v>Govt. Dental College Hospital, 350823</c:v>
                </c:pt>
                <c:pt idx="28">
                  <c:v>RIO &amp;Govt. Ophthalmic Hospital</c:v>
                </c:pt>
                <c:pt idx="29">
                  <c:v>Pudukottai Medical College &amp; Hospital ,Pudukottai</c:v>
                </c:pt>
                <c:pt idx="30">
                  <c:v>Govt. Peripheral.Hospital., Periyar Nagar</c:v>
                </c:pt>
                <c:pt idx="31">
                  <c:v>Institute of Thoraic Medicine,  Chetpet</c:v>
                </c:pt>
                <c:pt idx="32">
                  <c:v>Govt Hospital of Thoraic Medicine, Tambaram</c:v>
                </c:pt>
                <c:pt idx="33">
                  <c:v>Govt. Hospital, Balarangapuram, Madurai</c:v>
                </c:pt>
                <c:pt idx="34">
                  <c:v>I.O.G  Hospital for Women &amp; Children</c:v>
                </c:pt>
                <c:pt idx="35">
                  <c:v>Institute of Mental Health</c:v>
                </c:pt>
                <c:pt idx="36">
                  <c:v>P.A.Ramasamy Memorial Govt. Hospital, Kandiaperi</c:v>
                </c:pt>
                <c:pt idx="37">
                  <c:v>Multisuper Speciality Hospital, Omandurar Govt Estate</c:v>
                </c:pt>
                <c:pt idx="38">
                  <c:v>Govt. R.S.R.M. Hospital, Chennai</c:v>
                </c:pt>
                <c:pt idx="39">
                  <c:v>Govt. Institute of Rehab Medical KK nagar, Chennai</c:v>
                </c:pt>
                <c:pt idx="40">
                  <c:v>Govt. Thiruvotteswarar  Hospital of Thoraic Medicine, Otteri Chennai</c:v>
                </c:pt>
                <c:pt idx="41">
                  <c:v>Govt Medical College &amp; ESI Hospital, Singanallur, coimbatore</c:v>
                </c:pt>
                <c:pt idx="42">
                  <c:v>Secretariat Dispensary, chennai</c:v>
                </c:pt>
                <c:pt idx="43">
                  <c:v>Govt. Rajaji T.B. Hospital, Trichy</c:v>
                </c:pt>
                <c:pt idx="44">
                  <c:v>Cancer Hospital, Karapettai, KPM</c:v>
                </c:pt>
                <c:pt idx="45">
                  <c:v>Govt. High Court Dispensary, Chennai</c:v>
                </c:pt>
                <c:pt idx="46">
                  <c:v>Chepauk Dispensary, Chennai</c:v>
                </c:pt>
                <c:pt idx="47">
                  <c:v>College of Physiotherapy, Trichy</c:v>
                </c:pt>
                <c:pt idx="48">
                  <c:v>Govt. High Court Dispensary, Madurai</c:v>
                </c:pt>
                <c:pt idx="49">
                  <c:v>Cancer Institute, Kanchipuram</c:v>
                </c:pt>
                <c:pt idx="50">
                  <c:v>Govt press Dispensary, Chennai</c:v>
                </c:pt>
                <c:pt idx="51">
                  <c:v>Tot Hunter Nagar Dispensary, Chennai</c:v>
                </c:pt>
                <c:pt idx="52">
                  <c:v>Raj Bhavan Dispensary, chennai</c:v>
                </c:pt>
                <c:pt idx="53">
                  <c:v>MLA Hostel Dispensary, chennai</c:v>
                </c:pt>
                <c:pt idx="54">
                  <c:v>DPI Complex Dispensary, Chennai</c:v>
                </c:pt>
                <c:pt idx="55">
                  <c:v>Modern Medicine Dispensary, Chennai</c:v>
                </c:pt>
                <c:pt idx="56">
                  <c:v>Govt.Dispensary, Queen Mary's College, chennai</c:v>
                </c:pt>
                <c:pt idx="57">
                  <c:v>Infectious Diseases Hospital, Thoppur</c:v>
                </c:pt>
                <c:pt idx="58">
                  <c:v>Cholera Collegeegeection Centre, Thoppur</c:v>
                </c:pt>
              </c:strCache>
            </c:strRef>
          </c:cat>
          <c:val>
            <c:numRef>
              <c:f>'Outpatient Pivot Chart'!$C$4:$C$63</c:f>
              <c:numCache>
                <c:formatCode>General</c:formatCode>
                <c:ptCount val="59"/>
                <c:pt idx="0">
                  <c:v>1.8</c:v>
                </c:pt>
                <c:pt idx="1">
                  <c:v>-1.2</c:v>
                </c:pt>
                <c:pt idx="2">
                  <c:v>69.2</c:v>
                </c:pt>
                <c:pt idx="3">
                  <c:v>2.1</c:v>
                </c:pt>
                <c:pt idx="4">
                  <c:v>-12.7</c:v>
                </c:pt>
                <c:pt idx="5">
                  <c:v>25.7</c:v>
                </c:pt>
                <c:pt idx="6">
                  <c:v>-0.1</c:v>
                </c:pt>
                <c:pt idx="7">
                  <c:v>29.7</c:v>
                </c:pt>
                <c:pt idx="8">
                  <c:v>-27.4</c:v>
                </c:pt>
                <c:pt idx="9">
                  <c:v>28.6</c:v>
                </c:pt>
                <c:pt idx="10">
                  <c:v>18</c:v>
                </c:pt>
                <c:pt idx="11">
                  <c:v>31.3</c:v>
                </c:pt>
                <c:pt idx="12">
                  <c:v>2.2999999999999998</c:v>
                </c:pt>
                <c:pt idx="13">
                  <c:v>34.4</c:v>
                </c:pt>
                <c:pt idx="14">
                  <c:v>21.3</c:v>
                </c:pt>
                <c:pt idx="15">
                  <c:v>16.399999999999999</c:v>
                </c:pt>
                <c:pt idx="16">
                  <c:v>22.1</c:v>
                </c:pt>
                <c:pt idx="17">
                  <c:v>13.8</c:v>
                </c:pt>
                <c:pt idx="18">
                  <c:v>8.1</c:v>
                </c:pt>
                <c:pt idx="19">
                  <c:v>17</c:v>
                </c:pt>
                <c:pt idx="20">
                  <c:v>0</c:v>
                </c:pt>
                <c:pt idx="21">
                  <c:v>18.2</c:v>
                </c:pt>
                <c:pt idx="22">
                  <c:v>51</c:v>
                </c:pt>
                <c:pt idx="23">
                  <c:v>13.4</c:v>
                </c:pt>
                <c:pt idx="24">
                  <c:v>101.1</c:v>
                </c:pt>
                <c:pt idx="25">
                  <c:v>1.8</c:v>
                </c:pt>
                <c:pt idx="26">
                  <c:v>-17.399999999999999</c:v>
                </c:pt>
                <c:pt idx="27">
                  <c:v>-100</c:v>
                </c:pt>
                <c:pt idx="28">
                  <c:v>-7.8</c:v>
                </c:pt>
                <c:pt idx="29">
                  <c:v>0</c:v>
                </c:pt>
                <c:pt idx="30">
                  <c:v>0</c:v>
                </c:pt>
                <c:pt idx="31">
                  <c:v>-18.100000000000001</c:v>
                </c:pt>
                <c:pt idx="32">
                  <c:v>-19.399999999999999</c:v>
                </c:pt>
                <c:pt idx="33">
                  <c:v>-35.4</c:v>
                </c:pt>
                <c:pt idx="34">
                  <c:v>24.1</c:v>
                </c:pt>
                <c:pt idx="35">
                  <c:v>-6.9</c:v>
                </c:pt>
                <c:pt idx="36">
                  <c:v>-6.7</c:v>
                </c:pt>
                <c:pt idx="37">
                  <c:v>252.25074864694085</c:v>
                </c:pt>
                <c:pt idx="38">
                  <c:v>1.4</c:v>
                </c:pt>
                <c:pt idx="39">
                  <c:v>-44</c:v>
                </c:pt>
                <c:pt idx="40">
                  <c:v>-16.899999999999999</c:v>
                </c:pt>
                <c:pt idx="41">
                  <c:v>0</c:v>
                </c:pt>
                <c:pt idx="42">
                  <c:v>0</c:v>
                </c:pt>
                <c:pt idx="43">
                  <c:v>3.4</c:v>
                </c:pt>
                <c:pt idx="44">
                  <c:v>6.2</c:v>
                </c:pt>
                <c:pt idx="45">
                  <c:v>-10</c:v>
                </c:pt>
                <c:pt idx="46">
                  <c:v>0</c:v>
                </c:pt>
                <c:pt idx="47">
                  <c:v>-28.6</c:v>
                </c:pt>
                <c:pt idx="48">
                  <c:v>0</c:v>
                </c:pt>
                <c:pt idx="49">
                  <c:v>89.8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40-40F1-A8F3-0BC1FB43DF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50590927"/>
        <c:axId val="1105631071"/>
      </c:barChart>
      <c:catAx>
        <c:axId val="12505909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5631071"/>
        <c:crosses val="autoZero"/>
        <c:auto val="1"/>
        <c:lblAlgn val="ctr"/>
        <c:lblOffset val="100"/>
        <c:noMultiLvlLbl val="0"/>
      </c:catAx>
      <c:valAx>
        <c:axId val="1105631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590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[TamilNadu_Healthcare_Summary (Final).xlsx]Inpatient Pivot Chart!PivotTable3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'Inpatient Pivot Chart'!$B$3</c:f>
              <c:strCache>
                <c:ptCount val="1"/>
                <c:pt idx="0">
                  <c:v>Sum of 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'Inpatient Pivot Chart'!$A$4:$A$49</c:f>
              <c:strCache>
                <c:ptCount val="45"/>
                <c:pt idx="0">
                  <c:v>Rajiv Gandhi Govt. General Hospital.</c:v>
                </c:pt>
                <c:pt idx="1">
                  <c:v>Govt. Rajaji Hospital, Madurai</c:v>
                </c:pt>
                <c:pt idx="2">
                  <c:v>Tirunelveli Medical College Hospital</c:v>
                </c:pt>
                <c:pt idx="3">
                  <c:v>Coimbatore Medical College Hospital</c:v>
                </c:pt>
                <c:pt idx="4">
                  <c:v>Govt Stanley Hospital, Chennai</c:v>
                </c:pt>
                <c:pt idx="5">
                  <c:v>Govt. MKMedical College and Hospital Salem</c:v>
                </c:pt>
                <c:pt idx="6">
                  <c:v>Thanjavur Medical College Hospital</c:v>
                </c:pt>
                <c:pt idx="7">
                  <c:v>Mahatma Gandhi Memorial Trichy</c:v>
                </c:pt>
                <c:pt idx="8">
                  <c:v>Institute of Mental Health</c:v>
                </c:pt>
                <c:pt idx="9">
                  <c:v>I.O.G  Hospital for Women &amp; Children</c:v>
                </c:pt>
                <c:pt idx="10">
                  <c:v>Vellore Medical College Hospital</c:v>
                </c:pt>
                <c:pt idx="11">
                  <c:v>Theni Medical College Hospital</c:v>
                </c:pt>
                <c:pt idx="12">
                  <c:v>Villupuram Medical College Hospital</c:v>
                </c:pt>
                <c:pt idx="13">
                  <c:v>Thoothukudi Medical College Hospital</c:v>
                </c:pt>
                <c:pt idx="14">
                  <c:v>Govt Kilpauk Medical College Hospital Ch.</c:v>
                </c:pt>
                <c:pt idx="15">
                  <c:v>Govt. Raja Mirasdar Hospital, Tanjavur</c:v>
                </c:pt>
                <c:pt idx="16">
                  <c:v>Thiruvarur Medical College Hospital</c:v>
                </c:pt>
                <c:pt idx="17">
                  <c:v>Dharmapuri Medical College Hospital</c:v>
                </c:pt>
                <c:pt idx="18">
                  <c:v>Chengalpattu Medical College Hospital</c:v>
                </c:pt>
                <c:pt idx="19">
                  <c:v>KKMC Hospital, Asaripallam</c:v>
                </c:pt>
                <c:pt idx="20">
                  <c:v>Institute of Social Obst. &amp; Govt. KGH Chennai</c:v>
                </c:pt>
                <c:pt idx="21">
                  <c:v>Govt. Thiruvannamalai Medical College Hospital</c:v>
                </c:pt>
                <c:pt idx="22">
                  <c:v>Govt. R.S.R.M. Hospital, Chennai</c:v>
                </c:pt>
                <c:pt idx="23">
                  <c:v>Govt Hospital of Thoracic Medical, Tambaram</c:v>
                </c:pt>
                <c:pt idx="24">
                  <c:v>I.C.H &amp; Hospital for Children</c:v>
                </c:pt>
                <c:pt idx="25">
                  <c:v>Inst of Non Comm Dis. &amp; GRH Ch</c:v>
                </c:pt>
                <c:pt idx="26">
                  <c:v>Govt. Sivagangai Medical College and Hospital</c:v>
                </c:pt>
                <c:pt idx="27">
                  <c:v>Pudukottai Medical College &amp; Hospital ,Pudukottai</c:v>
                </c:pt>
                <c:pt idx="28">
                  <c:v>Multisuper Speciality Hospital, Omandurar Govt Estate</c:v>
                </c:pt>
                <c:pt idx="29">
                  <c:v>Arignar Anna Memorial Cancer Hospital, Karapettai, KPM</c:v>
                </c:pt>
                <c:pt idx="30">
                  <c:v>RIO &amp; Govt. Ophthalmic Hospital</c:v>
                </c:pt>
                <c:pt idx="31">
                  <c:v>Karur Medical College &amp; Hospital Karur</c:v>
                </c:pt>
                <c:pt idx="32">
                  <c:v>Govt. Hospital for Thoracic Medicine, Thoppur, Madurai</c:v>
                </c:pt>
                <c:pt idx="33">
                  <c:v>Govt. Thiruvotteswarar  Hospital of Thoracic Medicine, Otteri Chennai</c:v>
                </c:pt>
                <c:pt idx="34">
                  <c:v>Govt. Institute of Rehab Medical KK Nagar, Chennai</c:v>
                </c:pt>
                <c:pt idx="35">
                  <c:v>Govt. Peripheral Hospital, Tondiarpet</c:v>
                </c:pt>
                <c:pt idx="36">
                  <c:v>Govt Medical College &amp; ESI Hospital, Singanallur, coimbatore</c:v>
                </c:pt>
                <c:pt idx="37">
                  <c:v>Govt. Peripheral Hospital, Periyar Nagar</c:v>
                </c:pt>
                <c:pt idx="38">
                  <c:v>Govt. Peripheral Hospital, Anna Nagar</c:v>
                </c:pt>
                <c:pt idx="39">
                  <c:v>Govt. Hospital, Balarangapuram, Madurai</c:v>
                </c:pt>
                <c:pt idx="40">
                  <c:v>Govt. Peripheral Hospital, K.K.Nagar</c:v>
                </c:pt>
                <c:pt idx="41">
                  <c:v>Govt. Rajaji T.B.Hospital, Trichy</c:v>
                </c:pt>
                <c:pt idx="42">
                  <c:v>Infectious Diseases Hospital Thoppur, Madurai</c:v>
                </c:pt>
                <c:pt idx="43">
                  <c:v>P.A.Ramasamy Memorial Govt. Hospital, Kandiaperi, Tirunelveli Dist.</c:v>
                </c:pt>
                <c:pt idx="44">
                  <c:v>Cholera College Centre,  Thoppur</c:v>
                </c:pt>
              </c:strCache>
            </c:strRef>
          </c:cat>
          <c:val>
            <c:numRef>
              <c:f>'Inpatient Pivot Chart'!$B$4:$B$49</c:f>
              <c:numCache>
                <c:formatCode>General</c:formatCode>
                <c:ptCount val="45"/>
                <c:pt idx="0">
                  <c:v>4502968</c:v>
                </c:pt>
                <c:pt idx="1">
                  <c:v>4242230</c:v>
                </c:pt>
                <c:pt idx="2">
                  <c:v>2446985</c:v>
                </c:pt>
                <c:pt idx="3">
                  <c:v>2431755</c:v>
                </c:pt>
                <c:pt idx="4">
                  <c:v>2383625</c:v>
                </c:pt>
                <c:pt idx="5">
                  <c:v>2372750</c:v>
                </c:pt>
                <c:pt idx="6">
                  <c:v>1978456</c:v>
                </c:pt>
                <c:pt idx="7">
                  <c:v>1941542</c:v>
                </c:pt>
                <c:pt idx="8">
                  <c:v>1893522</c:v>
                </c:pt>
                <c:pt idx="9">
                  <c:v>1751134</c:v>
                </c:pt>
                <c:pt idx="10">
                  <c:v>1687067</c:v>
                </c:pt>
                <c:pt idx="11">
                  <c:v>1544292</c:v>
                </c:pt>
                <c:pt idx="12">
                  <c:v>1533343</c:v>
                </c:pt>
                <c:pt idx="13">
                  <c:v>1525023</c:v>
                </c:pt>
                <c:pt idx="14">
                  <c:v>1517960</c:v>
                </c:pt>
                <c:pt idx="15">
                  <c:v>1404970</c:v>
                </c:pt>
                <c:pt idx="16">
                  <c:v>1390358</c:v>
                </c:pt>
                <c:pt idx="17">
                  <c:v>1385847</c:v>
                </c:pt>
                <c:pt idx="18">
                  <c:v>1288669</c:v>
                </c:pt>
                <c:pt idx="19">
                  <c:v>1214666</c:v>
                </c:pt>
                <c:pt idx="20">
                  <c:v>1140053</c:v>
                </c:pt>
                <c:pt idx="21">
                  <c:v>1102014</c:v>
                </c:pt>
                <c:pt idx="22">
                  <c:v>1087107</c:v>
                </c:pt>
                <c:pt idx="23">
                  <c:v>1071594</c:v>
                </c:pt>
                <c:pt idx="24">
                  <c:v>1044291</c:v>
                </c:pt>
                <c:pt idx="25">
                  <c:v>984736</c:v>
                </c:pt>
                <c:pt idx="26">
                  <c:v>850238</c:v>
                </c:pt>
                <c:pt idx="27">
                  <c:v>349885</c:v>
                </c:pt>
                <c:pt idx="28">
                  <c:v>328962</c:v>
                </c:pt>
                <c:pt idx="29">
                  <c:v>320471</c:v>
                </c:pt>
                <c:pt idx="30">
                  <c:v>312345</c:v>
                </c:pt>
                <c:pt idx="31">
                  <c:v>259727</c:v>
                </c:pt>
                <c:pt idx="32">
                  <c:v>229381</c:v>
                </c:pt>
                <c:pt idx="33">
                  <c:v>189890</c:v>
                </c:pt>
                <c:pt idx="34">
                  <c:v>101745</c:v>
                </c:pt>
                <c:pt idx="35">
                  <c:v>99191</c:v>
                </c:pt>
                <c:pt idx="36">
                  <c:v>80838</c:v>
                </c:pt>
                <c:pt idx="37">
                  <c:v>72139</c:v>
                </c:pt>
                <c:pt idx="38">
                  <c:v>66942</c:v>
                </c:pt>
                <c:pt idx="39">
                  <c:v>60150</c:v>
                </c:pt>
                <c:pt idx="40">
                  <c:v>54363</c:v>
                </c:pt>
                <c:pt idx="41">
                  <c:v>50447</c:v>
                </c:pt>
                <c:pt idx="42">
                  <c:v>21320</c:v>
                </c:pt>
                <c:pt idx="43">
                  <c:v>8205</c:v>
                </c:pt>
                <c:pt idx="44">
                  <c:v>5501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60-4CA4-9F37-B15DAF817E8F}"/>
            </c:ext>
          </c:extLst>
        </c:ser>
        <c:ser>
          <c:idx val="1"/>
          <c:order val="1"/>
          <c:tx>
            <c:strRef>
              <c:f>'Inpatient Pivot Chart'!$C$3</c:f>
              <c:strCache>
                <c:ptCount val="1"/>
                <c:pt idx="0">
                  <c:v>Average of Growth%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'Inpatient Pivot Chart'!$A$4:$A$49</c:f>
              <c:strCache>
                <c:ptCount val="45"/>
                <c:pt idx="0">
                  <c:v>Rajiv Gandhi Govt. General Hospital.</c:v>
                </c:pt>
                <c:pt idx="1">
                  <c:v>Govt. Rajaji Hospital, Madurai</c:v>
                </c:pt>
                <c:pt idx="2">
                  <c:v>Tirunelveli Medical College Hospital</c:v>
                </c:pt>
                <c:pt idx="3">
                  <c:v>Coimbatore Medical College Hospital</c:v>
                </c:pt>
                <c:pt idx="4">
                  <c:v>Govt Stanley Hospital, Chennai</c:v>
                </c:pt>
                <c:pt idx="5">
                  <c:v>Govt. MKMedical College and Hospital Salem</c:v>
                </c:pt>
                <c:pt idx="6">
                  <c:v>Thanjavur Medical College Hospital</c:v>
                </c:pt>
                <c:pt idx="7">
                  <c:v>Mahatma Gandhi Memorial Trichy</c:v>
                </c:pt>
                <c:pt idx="8">
                  <c:v>Institute of Mental Health</c:v>
                </c:pt>
                <c:pt idx="9">
                  <c:v>I.O.G  Hospital for Women &amp; Children</c:v>
                </c:pt>
                <c:pt idx="10">
                  <c:v>Vellore Medical College Hospital</c:v>
                </c:pt>
                <c:pt idx="11">
                  <c:v>Theni Medical College Hospital</c:v>
                </c:pt>
                <c:pt idx="12">
                  <c:v>Villupuram Medical College Hospital</c:v>
                </c:pt>
                <c:pt idx="13">
                  <c:v>Thoothukudi Medical College Hospital</c:v>
                </c:pt>
                <c:pt idx="14">
                  <c:v>Govt Kilpauk Medical College Hospital Ch.</c:v>
                </c:pt>
                <c:pt idx="15">
                  <c:v>Govt. Raja Mirasdar Hospital, Tanjavur</c:v>
                </c:pt>
                <c:pt idx="16">
                  <c:v>Thiruvarur Medical College Hospital</c:v>
                </c:pt>
                <c:pt idx="17">
                  <c:v>Dharmapuri Medical College Hospital</c:v>
                </c:pt>
                <c:pt idx="18">
                  <c:v>Chengalpattu Medical College Hospital</c:v>
                </c:pt>
                <c:pt idx="19">
                  <c:v>KKMC Hospital, Asaripallam</c:v>
                </c:pt>
                <c:pt idx="20">
                  <c:v>Institute of Social Obst. &amp; Govt. KGH Chennai</c:v>
                </c:pt>
                <c:pt idx="21">
                  <c:v>Govt. Thiruvannamalai Medical College Hospital</c:v>
                </c:pt>
                <c:pt idx="22">
                  <c:v>Govt. R.S.R.M. Hospital, Chennai</c:v>
                </c:pt>
                <c:pt idx="23">
                  <c:v>Govt Hospital of Thoracic Medical, Tambaram</c:v>
                </c:pt>
                <c:pt idx="24">
                  <c:v>I.C.H &amp; Hospital for Children</c:v>
                </c:pt>
                <c:pt idx="25">
                  <c:v>Inst of Non Comm Dis. &amp; GRH Ch</c:v>
                </c:pt>
                <c:pt idx="26">
                  <c:v>Govt. Sivagangai Medical College and Hospital</c:v>
                </c:pt>
                <c:pt idx="27">
                  <c:v>Pudukottai Medical College &amp; Hospital ,Pudukottai</c:v>
                </c:pt>
                <c:pt idx="28">
                  <c:v>Multisuper Speciality Hospital, Omandurar Govt Estate</c:v>
                </c:pt>
                <c:pt idx="29">
                  <c:v>Arignar Anna Memorial Cancer Hospital, Karapettai, KPM</c:v>
                </c:pt>
                <c:pt idx="30">
                  <c:v>RIO &amp; Govt. Ophthalmic Hospital</c:v>
                </c:pt>
                <c:pt idx="31">
                  <c:v>Karur Medical College &amp; Hospital Karur</c:v>
                </c:pt>
                <c:pt idx="32">
                  <c:v>Govt. Hospital for Thoracic Medicine, Thoppur, Madurai</c:v>
                </c:pt>
                <c:pt idx="33">
                  <c:v>Govt. Thiruvotteswarar  Hospital of Thoracic Medicine, Otteri Chennai</c:v>
                </c:pt>
                <c:pt idx="34">
                  <c:v>Govt. Institute of Rehab Medical KK Nagar, Chennai</c:v>
                </c:pt>
                <c:pt idx="35">
                  <c:v>Govt. Peripheral Hospital, Tondiarpet</c:v>
                </c:pt>
                <c:pt idx="36">
                  <c:v>Govt Medical College &amp; ESI Hospital, Singanallur, coimbatore</c:v>
                </c:pt>
                <c:pt idx="37">
                  <c:v>Govt. Peripheral Hospital, Periyar Nagar</c:v>
                </c:pt>
                <c:pt idx="38">
                  <c:v>Govt. Peripheral Hospital, Anna Nagar</c:v>
                </c:pt>
                <c:pt idx="39">
                  <c:v>Govt. Hospital, Balarangapuram, Madurai</c:v>
                </c:pt>
                <c:pt idx="40">
                  <c:v>Govt. Peripheral Hospital, K.K.Nagar</c:v>
                </c:pt>
                <c:pt idx="41">
                  <c:v>Govt. Rajaji T.B.Hospital, Trichy</c:v>
                </c:pt>
                <c:pt idx="42">
                  <c:v>Infectious Diseases Hospital Thoppur, Madurai</c:v>
                </c:pt>
                <c:pt idx="43">
                  <c:v>P.A.Ramasamy Memorial Govt. Hospital, Kandiaperi, Tirunelveli Dist.</c:v>
                </c:pt>
                <c:pt idx="44">
                  <c:v>Cholera College Centre,  Thoppur</c:v>
                </c:pt>
              </c:strCache>
            </c:strRef>
          </c:cat>
          <c:val>
            <c:numRef>
              <c:f>'Inpatient Pivot Chart'!$C$4:$C$49</c:f>
              <c:numCache>
                <c:formatCode>General</c:formatCode>
                <c:ptCount val="45"/>
                <c:pt idx="0">
                  <c:v>4.0999999999999996</c:v>
                </c:pt>
                <c:pt idx="1">
                  <c:v>3</c:v>
                </c:pt>
                <c:pt idx="2">
                  <c:v>27.3</c:v>
                </c:pt>
                <c:pt idx="3">
                  <c:v>32.700000000000003</c:v>
                </c:pt>
                <c:pt idx="4">
                  <c:v>16.7</c:v>
                </c:pt>
                <c:pt idx="5">
                  <c:v>12.9</c:v>
                </c:pt>
                <c:pt idx="6">
                  <c:v>1.1000000000000001</c:v>
                </c:pt>
                <c:pt idx="7">
                  <c:v>61.7</c:v>
                </c:pt>
                <c:pt idx="8">
                  <c:v>-23.4</c:v>
                </c:pt>
                <c:pt idx="9">
                  <c:v>13.5</c:v>
                </c:pt>
                <c:pt idx="10">
                  <c:v>28.8</c:v>
                </c:pt>
                <c:pt idx="11">
                  <c:v>35.200000000000003</c:v>
                </c:pt>
                <c:pt idx="12">
                  <c:v>39</c:v>
                </c:pt>
                <c:pt idx="13">
                  <c:v>22.3</c:v>
                </c:pt>
                <c:pt idx="14">
                  <c:v>23</c:v>
                </c:pt>
                <c:pt idx="15">
                  <c:v>20</c:v>
                </c:pt>
                <c:pt idx="16">
                  <c:v>39.1</c:v>
                </c:pt>
                <c:pt idx="17">
                  <c:v>31.9</c:v>
                </c:pt>
                <c:pt idx="18">
                  <c:v>17.8</c:v>
                </c:pt>
                <c:pt idx="19">
                  <c:v>7.9</c:v>
                </c:pt>
                <c:pt idx="20">
                  <c:v>34.700000000000003</c:v>
                </c:pt>
                <c:pt idx="21">
                  <c:v>94.1</c:v>
                </c:pt>
                <c:pt idx="22">
                  <c:v>-11.1</c:v>
                </c:pt>
                <c:pt idx="23">
                  <c:v>-30.3</c:v>
                </c:pt>
                <c:pt idx="24">
                  <c:v>9.9</c:v>
                </c:pt>
                <c:pt idx="25">
                  <c:v>6</c:v>
                </c:pt>
                <c:pt idx="26">
                  <c:v>171.5</c:v>
                </c:pt>
                <c:pt idx="27">
                  <c:v>0</c:v>
                </c:pt>
                <c:pt idx="28">
                  <c:v>0</c:v>
                </c:pt>
                <c:pt idx="29">
                  <c:v>-29.8</c:v>
                </c:pt>
                <c:pt idx="30">
                  <c:v>-23.8</c:v>
                </c:pt>
                <c:pt idx="31">
                  <c:v>0</c:v>
                </c:pt>
                <c:pt idx="32">
                  <c:v>-4.8</c:v>
                </c:pt>
                <c:pt idx="33">
                  <c:v>-13.9</c:v>
                </c:pt>
                <c:pt idx="34">
                  <c:v>-58.6</c:v>
                </c:pt>
                <c:pt idx="35">
                  <c:v>-13.4</c:v>
                </c:pt>
                <c:pt idx="36">
                  <c:v>0</c:v>
                </c:pt>
                <c:pt idx="37">
                  <c:v>0</c:v>
                </c:pt>
                <c:pt idx="38">
                  <c:v>-13.5</c:v>
                </c:pt>
                <c:pt idx="39">
                  <c:v>-53.9</c:v>
                </c:pt>
                <c:pt idx="40">
                  <c:v>-41.6</c:v>
                </c:pt>
                <c:pt idx="41">
                  <c:v>4.2</c:v>
                </c:pt>
                <c:pt idx="42">
                  <c:v>183</c:v>
                </c:pt>
                <c:pt idx="43">
                  <c:v>-24.4</c:v>
                </c:pt>
                <c:pt idx="44">
                  <c:v>-19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60-4CA4-9F37-B15DAF817E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59375503"/>
        <c:axId val="1159375983"/>
      </c:barChart>
      <c:catAx>
        <c:axId val="11593755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375983"/>
        <c:crosses val="autoZero"/>
        <c:auto val="1"/>
        <c:lblAlgn val="ctr"/>
        <c:lblOffset val="100"/>
        <c:noMultiLvlLbl val="0"/>
      </c:catAx>
      <c:valAx>
        <c:axId val="1159375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375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[TamilNadu_Healthcare_Summary (Final).xlsx]Surgeries Pivot Chart!PivotTable4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'Surgeries Pivot Chart'!$B$3</c:f>
              <c:strCache>
                <c:ptCount val="1"/>
                <c:pt idx="0">
                  <c:v>Sum of 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'Surgeries Pivot Chart'!$A$4:$A$45</c:f>
              <c:strCache>
                <c:ptCount val="41"/>
                <c:pt idx="0">
                  <c:v>Govt. Dental Hospital, Chennai</c:v>
                </c:pt>
                <c:pt idx="1">
                  <c:v>Govt. Rajaji Hospital, Madurai</c:v>
                </c:pt>
                <c:pt idx="2">
                  <c:v>KKMC Hospital, Aasaripallam</c:v>
                </c:pt>
                <c:pt idx="3">
                  <c:v>Dharmapuri Medical Hospital, Dharmapuri</c:v>
                </c:pt>
                <c:pt idx="4">
                  <c:v>Govt. Stanley Hospital</c:v>
                </c:pt>
                <c:pt idx="5">
                  <c:v>Chengalpattu Medical College Hospital</c:v>
                </c:pt>
                <c:pt idx="6">
                  <c:v>Rajiv Gandhi Govt. General  Hospital</c:v>
                </c:pt>
                <c:pt idx="7">
                  <c:v>Coimbatore Medical College Hospital</c:v>
                </c:pt>
                <c:pt idx="8">
                  <c:v>Govt. Mohan Kumaramangalam Hospital, Salem</c:v>
                </c:pt>
                <c:pt idx="9">
                  <c:v>RIO and Govt. Ophthalmic  Hospital </c:v>
                </c:pt>
                <c:pt idx="10">
                  <c:v>Thoothkudi Medical Hospital, Thoothukudi</c:v>
                </c:pt>
                <c:pt idx="11">
                  <c:v>Mahathma Gandhi Memorial Hospital, Trichy</c:v>
                </c:pt>
                <c:pt idx="12">
                  <c:v>Govt. Royapettah Hospital</c:v>
                </c:pt>
                <c:pt idx="13">
                  <c:v>Govt. Raja Mirasdar Hospital, Thanjavur</c:v>
                </c:pt>
                <c:pt idx="14">
                  <c:v>IOG, Hospital for Women &amp;Children</c:v>
                </c:pt>
                <c:pt idx="15">
                  <c:v>Kilpauk Medical College Hospital</c:v>
                </c:pt>
                <c:pt idx="16">
                  <c:v>Tirunelveli Medical College Hospital</c:v>
                </c:pt>
                <c:pt idx="17">
                  <c:v>Villupuram Medical Hospital, Villupuram</c:v>
                </c:pt>
                <c:pt idx="18">
                  <c:v>Theni Medical Hospital, Theni</c:v>
                </c:pt>
                <c:pt idx="19">
                  <c:v>Govt. Thiruvannamalai Medical College and Hospital</c:v>
                </c:pt>
                <c:pt idx="20">
                  <c:v>Govt. KasturbaGandhi Hospital</c:v>
                </c:pt>
                <c:pt idx="21">
                  <c:v>Vellore Medical Hospital</c:v>
                </c:pt>
                <c:pt idx="22">
                  <c:v>ICH for children</c:v>
                </c:pt>
                <c:pt idx="23">
                  <c:v>Thiruvarur Medical Hospital</c:v>
                </c:pt>
                <c:pt idx="24">
                  <c:v>Thanjavur Medical College Hospital</c:v>
                </c:pt>
                <c:pt idx="25">
                  <c:v>Govt. Sivagangai Medical College and Hospital</c:v>
                </c:pt>
                <c:pt idx="26">
                  <c:v>Govt. RSRM Hospital</c:v>
                </c:pt>
                <c:pt idx="27">
                  <c:v>Karur Medical College &amp; Hospital, Karur</c:v>
                </c:pt>
                <c:pt idx="28">
                  <c:v>Govt. Peripheral Hospital, Periyar Nagar</c:v>
                </c:pt>
                <c:pt idx="29">
                  <c:v>TN Multi Superspeciality Hospital, Omandurar</c:v>
                </c:pt>
                <c:pt idx="30">
                  <c:v>Govt. Thoraic Medicine, Tambaram</c:v>
                </c:pt>
                <c:pt idx="31">
                  <c:v>Pudukottai Medical College &amp; Hospital, Pudukottai</c:v>
                </c:pt>
                <c:pt idx="32">
                  <c:v>Cancer  Hospital, Karapettai</c:v>
                </c:pt>
                <c:pt idx="33">
                  <c:v>Govt Medical College &amp; ESI Hospital, Singanallur, Coimbatore</c:v>
                </c:pt>
                <c:pt idx="34">
                  <c:v>Govt. Thiruvotteswarar Hospital, Otteri</c:v>
                </c:pt>
                <c:pt idx="35">
                  <c:v>Govt. Peripheral Hospital, Anna Nagar</c:v>
                </c:pt>
                <c:pt idx="36">
                  <c:v>P.A.Ramasamy Memorial Govt Hospital, Kandiyaperi</c:v>
                </c:pt>
                <c:pt idx="37">
                  <c:v>Govt. Peripheral Hospital, Tondiarpet</c:v>
                </c:pt>
                <c:pt idx="38">
                  <c:v>Govt. Institute of Rehabilization Medicine</c:v>
                </c:pt>
                <c:pt idx="39">
                  <c:v>Govt. Balarangapuram,  Madurai</c:v>
                </c:pt>
                <c:pt idx="40">
                  <c:v>Govt. Peripheral Hospital, K.K Nagar</c:v>
                </c:pt>
              </c:strCache>
            </c:strRef>
          </c:cat>
          <c:val>
            <c:numRef>
              <c:f>'Surgeries Pivot Chart'!$B$4:$B$45</c:f>
              <c:numCache>
                <c:formatCode>General</c:formatCode>
                <c:ptCount val="41"/>
                <c:pt idx="0">
                  <c:v>400866</c:v>
                </c:pt>
                <c:pt idx="1">
                  <c:v>325723</c:v>
                </c:pt>
                <c:pt idx="2">
                  <c:v>308902</c:v>
                </c:pt>
                <c:pt idx="3">
                  <c:v>260473</c:v>
                </c:pt>
                <c:pt idx="4">
                  <c:v>255498</c:v>
                </c:pt>
                <c:pt idx="5">
                  <c:v>218554</c:v>
                </c:pt>
                <c:pt idx="6">
                  <c:v>213987</c:v>
                </c:pt>
                <c:pt idx="7">
                  <c:v>210143</c:v>
                </c:pt>
                <c:pt idx="8">
                  <c:v>171568</c:v>
                </c:pt>
                <c:pt idx="9">
                  <c:v>140708</c:v>
                </c:pt>
                <c:pt idx="10">
                  <c:v>130358</c:v>
                </c:pt>
                <c:pt idx="11">
                  <c:v>127953</c:v>
                </c:pt>
                <c:pt idx="12">
                  <c:v>117561</c:v>
                </c:pt>
                <c:pt idx="13">
                  <c:v>111191</c:v>
                </c:pt>
                <c:pt idx="14">
                  <c:v>110614</c:v>
                </c:pt>
                <c:pt idx="15">
                  <c:v>108834</c:v>
                </c:pt>
                <c:pt idx="16">
                  <c:v>96749</c:v>
                </c:pt>
                <c:pt idx="17">
                  <c:v>96361</c:v>
                </c:pt>
                <c:pt idx="18">
                  <c:v>87771</c:v>
                </c:pt>
                <c:pt idx="19">
                  <c:v>85143</c:v>
                </c:pt>
                <c:pt idx="20">
                  <c:v>85029</c:v>
                </c:pt>
                <c:pt idx="21">
                  <c:v>83037</c:v>
                </c:pt>
                <c:pt idx="22">
                  <c:v>76800</c:v>
                </c:pt>
                <c:pt idx="23">
                  <c:v>68418</c:v>
                </c:pt>
                <c:pt idx="24">
                  <c:v>61214</c:v>
                </c:pt>
                <c:pt idx="25">
                  <c:v>51543</c:v>
                </c:pt>
                <c:pt idx="26">
                  <c:v>45781</c:v>
                </c:pt>
                <c:pt idx="27">
                  <c:v>23059</c:v>
                </c:pt>
                <c:pt idx="28">
                  <c:v>21505</c:v>
                </c:pt>
                <c:pt idx="29">
                  <c:v>19070</c:v>
                </c:pt>
                <c:pt idx="30">
                  <c:v>18941</c:v>
                </c:pt>
                <c:pt idx="31">
                  <c:v>16954</c:v>
                </c:pt>
                <c:pt idx="32">
                  <c:v>10244</c:v>
                </c:pt>
                <c:pt idx="33">
                  <c:v>4012</c:v>
                </c:pt>
                <c:pt idx="34">
                  <c:v>2455</c:v>
                </c:pt>
                <c:pt idx="35">
                  <c:v>2370</c:v>
                </c:pt>
                <c:pt idx="36">
                  <c:v>1713</c:v>
                </c:pt>
                <c:pt idx="37">
                  <c:v>1606</c:v>
                </c:pt>
                <c:pt idx="38">
                  <c:v>1115</c:v>
                </c:pt>
                <c:pt idx="39">
                  <c:v>743</c:v>
                </c:pt>
                <c:pt idx="40">
                  <c:v>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B5-4D85-B757-3B92C7566978}"/>
            </c:ext>
          </c:extLst>
        </c:ser>
        <c:ser>
          <c:idx val="1"/>
          <c:order val="1"/>
          <c:tx>
            <c:strRef>
              <c:f>'Surgeries Pivot Chart'!$C$3</c:f>
              <c:strCache>
                <c:ptCount val="1"/>
                <c:pt idx="0">
                  <c:v>Average of Growth%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'Surgeries Pivot Chart'!$A$4:$A$45</c:f>
              <c:strCache>
                <c:ptCount val="41"/>
                <c:pt idx="0">
                  <c:v>Govt. Dental Hospital, Chennai</c:v>
                </c:pt>
                <c:pt idx="1">
                  <c:v>Govt. Rajaji Hospital, Madurai</c:v>
                </c:pt>
                <c:pt idx="2">
                  <c:v>KKMC Hospital, Aasaripallam</c:v>
                </c:pt>
                <c:pt idx="3">
                  <c:v>Dharmapuri Medical Hospital, Dharmapuri</c:v>
                </c:pt>
                <c:pt idx="4">
                  <c:v>Govt. Stanley Hospital</c:v>
                </c:pt>
                <c:pt idx="5">
                  <c:v>Chengalpattu Medical College Hospital</c:v>
                </c:pt>
                <c:pt idx="6">
                  <c:v>Rajiv Gandhi Govt. General  Hospital</c:v>
                </c:pt>
                <c:pt idx="7">
                  <c:v>Coimbatore Medical College Hospital</c:v>
                </c:pt>
                <c:pt idx="8">
                  <c:v>Govt. Mohan Kumaramangalam Hospital, Salem</c:v>
                </c:pt>
                <c:pt idx="9">
                  <c:v>RIO and Govt. Ophthalmic  Hospital </c:v>
                </c:pt>
                <c:pt idx="10">
                  <c:v>Thoothkudi Medical Hospital, Thoothukudi</c:v>
                </c:pt>
                <c:pt idx="11">
                  <c:v>Mahathma Gandhi Memorial Hospital, Trichy</c:v>
                </c:pt>
                <c:pt idx="12">
                  <c:v>Govt. Royapettah Hospital</c:v>
                </c:pt>
                <c:pt idx="13">
                  <c:v>Govt. Raja Mirasdar Hospital, Thanjavur</c:v>
                </c:pt>
                <c:pt idx="14">
                  <c:v>IOG, Hospital for Women &amp;Children</c:v>
                </c:pt>
                <c:pt idx="15">
                  <c:v>Kilpauk Medical College Hospital</c:v>
                </c:pt>
                <c:pt idx="16">
                  <c:v>Tirunelveli Medical College Hospital</c:v>
                </c:pt>
                <c:pt idx="17">
                  <c:v>Villupuram Medical Hospital, Villupuram</c:v>
                </c:pt>
                <c:pt idx="18">
                  <c:v>Theni Medical Hospital, Theni</c:v>
                </c:pt>
                <c:pt idx="19">
                  <c:v>Govt. Thiruvannamalai Medical College and Hospital</c:v>
                </c:pt>
                <c:pt idx="20">
                  <c:v>Govt. KasturbaGandhi Hospital</c:v>
                </c:pt>
                <c:pt idx="21">
                  <c:v>Vellore Medical Hospital</c:v>
                </c:pt>
                <c:pt idx="22">
                  <c:v>ICH for children</c:v>
                </c:pt>
                <c:pt idx="23">
                  <c:v>Thiruvarur Medical Hospital</c:v>
                </c:pt>
                <c:pt idx="24">
                  <c:v>Thanjavur Medical College Hospital</c:v>
                </c:pt>
                <c:pt idx="25">
                  <c:v>Govt. Sivagangai Medical College and Hospital</c:v>
                </c:pt>
                <c:pt idx="26">
                  <c:v>Govt. RSRM Hospital</c:v>
                </c:pt>
                <c:pt idx="27">
                  <c:v>Karur Medical College &amp; Hospital, Karur</c:v>
                </c:pt>
                <c:pt idx="28">
                  <c:v>Govt. Peripheral Hospital, Periyar Nagar</c:v>
                </c:pt>
                <c:pt idx="29">
                  <c:v>TN Multi Superspeciality Hospital, Omandurar</c:v>
                </c:pt>
                <c:pt idx="30">
                  <c:v>Govt. Thoraic Medicine, Tambaram</c:v>
                </c:pt>
                <c:pt idx="31">
                  <c:v>Pudukottai Medical College &amp; Hospital, Pudukottai</c:v>
                </c:pt>
                <c:pt idx="32">
                  <c:v>Cancer  Hospital, Karapettai</c:v>
                </c:pt>
                <c:pt idx="33">
                  <c:v>Govt Medical College &amp; ESI Hospital, Singanallur, Coimbatore</c:v>
                </c:pt>
                <c:pt idx="34">
                  <c:v>Govt. Thiruvotteswarar Hospital, Otteri</c:v>
                </c:pt>
                <c:pt idx="35">
                  <c:v>Govt. Peripheral Hospital, Anna Nagar</c:v>
                </c:pt>
                <c:pt idx="36">
                  <c:v>P.A.Ramasamy Memorial Govt Hospital, Kandiyaperi</c:v>
                </c:pt>
                <c:pt idx="37">
                  <c:v>Govt. Peripheral Hospital, Tondiarpet</c:v>
                </c:pt>
                <c:pt idx="38">
                  <c:v>Govt. Institute of Rehabilization Medicine</c:v>
                </c:pt>
                <c:pt idx="39">
                  <c:v>Govt. Balarangapuram,  Madurai</c:v>
                </c:pt>
                <c:pt idx="40">
                  <c:v>Govt. Peripheral Hospital, K.K Nagar</c:v>
                </c:pt>
              </c:strCache>
            </c:strRef>
          </c:cat>
          <c:val>
            <c:numRef>
              <c:f>'Surgeries Pivot Chart'!$C$4:$C$45</c:f>
              <c:numCache>
                <c:formatCode>General</c:formatCode>
                <c:ptCount val="41"/>
                <c:pt idx="0">
                  <c:v>-11.9</c:v>
                </c:pt>
                <c:pt idx="1">
                  <c:v>-5.4</c:v>
                </c:pt>
                <c:pt idx="2">
                  <c:v>155</c:v>
                </c:pt>
                <c:pt idx="3">
                  <c:v>95</c:v>
                </c:pt>
                <c:pt idx="4">
                  <c:v>20.100000000000001</c:v>
                </c:pt>
                <c:pt idx="5">
                  <c:v>141.1</c:v>
                </c:pt>
                <c:pt idx="6">
                  <c:v>1.9</c:v>
                </c:pt>
                <c:pt idx="7">
                  <c:v>179.4</c:v>
                </c:pt>
                <c:pt idx="8">
                  <c:v>-29.8</c:v>
                </c:pt>
                <c:pt idx="9">
                  <c:v>40</c:v>
                </c:pt>
                <c:pt idx="10">
                  <c:v>79.2</c:v>
                </c:pt>
                <c:pt idx="11">
                  <c:v>45.5</c:v>
                </c:pt>
                <c:pt idx="12">
                  <c:v>4.5</c:v>
                </c:pt>
                <c:pt idx="13">
                  <c:v>15.5</c:v>
                </c:pt>
                <c:pt idx="14">
                  <c:v>9</c:v>
                </c:pt>
                <c:pt idx="15">
                  <c:v>39.1</c:v>
                </c:pt>
                <c:pt idx="16">
                  <c:v>9</c:v>
                </c:pt>
                <c:pt idx="17">
                  <c:v>56.4</c:v>
                </c:pt>
                <c:pt idx="18">
                  <c:v>139.1</c:v>
                </c:pt>
                <c:pt idx="19">
                  <c:v>105.1</c:v>
                </c:pt>
                <c:pt idx="20">
                  <c:v>45.5</c:v>
                </c:pt>
                <c:pt idx="21">
                  <c:v>15.8</c:v>
                </c:pt>
                <c:pt idx="22">
                  <c:v>-15.3</c:v>
                </c:pt>
                <c:pt idx="23">
                  <c:v>255</c:v>
                </c:pt>
                <c:pt idx="24">
                  <c:v>-5.3</c:v>
                </c:pt>
                <c:pt idx="25">
                  <c:v>227.2</c:v>
                </c:pt>
                <c:pt idx="26">
                  <c:v>-29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2.2000000000000002</c:v>
                </c:pt>
                <c:pt idx="31">
                  <c:v>0</c:v>
                </c:pt>
                <c:pt idx="32">
                  <c:v>-7.9</c:v>
                </c:pt>
                <c:pt idx="33">
                  <c:v>0</c:v>
                </c:pt>
                <c:pt idx="34">
                  <c:v>103</c:v>
                </c:pt>
                <c:pt idx="35">
                  <c:v>4.5</c:v>
                </c:pt>
                <c:pt idx="36">
                  <c:v>-100</c:v>
                </c:pt>
                <c:pt idx="37">
                  <c:v>65.099999999999994</c:v>
                </c:pt>
                <c:pt idx="38">
                  <c:v>-83.9</c:v>
                </c:pt>
                <c:pt idx="39">
                  <c:v>-43.1</c:v>
                </c:pt>
                <c:pt idx="40">
                  <c:v>-6.3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B5-4D85-B757-3B92C75669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98879167"/>
        <c:axId val="1098879647"/>
      </c:barChart>
      <c:catAx>
        <c:axId val="10988791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8879647"/>
        <c:crosses val="autoZero"/>
        <c:auto val="1"/>
        <c:lblAlgn val="ctr"/>
        <c:lblOffset val="100"/>
        <c:noMultiLvlLbl val="0"/>
      </c:catAx>
      <c:valAx>
        <c:axId val="10988796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8879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[TamilNadu_Healthcare_Summary (Final).xlsx]Lab_Investigations Pivot Chart!PivotTable5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'Lab_Investigations Pivot Chart'!$B$3</c:f>
              <c:strCache>
                <c:ptCount val="1"/>
                <c:pt idx="0">
                  <c:v>Sum of 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'Lab_Investigations Pivot Chart'!$A$4:$A$52</c:f>
              <c:strCache>
                <c:ptCount val="48"/>
                <c:pt idx="0">
                  <c:v>Rajiv Gandhi Govt. General Hospital</c:v>
                </c:pt>
                <c:pt idx="1">
                  <c:v>Tirunelveli Medical College Hospital</c:v>
                </c:pt>
                <c:pt idx="2">
                  <c:v>Coimbatore Medical College Hospital</c:v>
                </c:pt>
                <c:pt idx="3">
                  <c:v>Govt Stanley Hospital</c:v>
                </c:pt>
                <c:pt idx="4">
                  <c:v>Govt. M.K.M.C.Hospital, Salem</c:v>
                </c:pt>
                <c:pt idx="5">
                  <c:v>Govt. Rajaji Hospital, Madurai</c:v>
                </c:pt>
                <c:pt idx="6">
                  <c:v>Dharmapuri Medical College Hospital</c:v>
                </c:pt>
                <c:pt idx="7">
                  <c:v>I.C.H &amp; Hospital for Children</c:v>
                </c:pt>
                <c:pt idx="8">
                  <c:v>Kilpauk Medical College Hospital</c:v>
                </c:pt>
                <c:pt idx="9">
                  <c:v>Mahatma Gandhi Memorial Medical College and Hospital, Trichy</c:v>
                </c:pt>
                <c:pt idx="10">
                  <c:v>Chengalpattu Medical College Hospital</c:v>
                </c:pt>
                <c:pt idx="11">
                  <c:v>Villupuram Medical College Hospital</c:v>
                </c:pt>
                <c:pt idx="12">
                  <c:v>KKMC Hospital, Asaripallam</c:v>
                </c:pt>
                <c:pt idx="13">
                  <c:v>Theni Medical College Hospital</c:v>
                </c:pt>
                <c:pt idx="14">
                  <c:v>Sivagangai Medical College Hospital</c:v>
                </c:pt>
                <c:pt idx="15">
                  <c:v>Institute of Social Obstetrics and Kasturbha Gandhi Hospital for Women and Children</c:v>
                </c:pt>
                <c:pt idx="16">
                  <c:v>Thanjavur Medical college Hospital</c:v>
                </c:pt>
                <c:pt idx="17">
                  <c:v>Thiruvarur Medical College Hospital</c:v>
                </c:pt>
                <c:pt idx="18">
                  <c:v>Govt. Thiruvannamalai Medical College Hospital</c:v>
                </c:pt>
                <c:pt idx="19">
                  <c:v>Vellore Medical College Hospital</c:v>
                </c:pt>
                <c:pt idx="20">
                  <c:v>Thoothukudi Medical College Hospital</c:v>
                </c:pt>
                <c:pt idx="21">
                  <c:v>Govt. Hospital of Thoraic Medicine, Tambaram</c:v>
                </c:pt>
                <c:pt idx="22">
                  <c:v>Institute of Non communicable  Diseases &amp; Govt. Royapettah Hospital </c:v>
                </c:pt>
                <c:pt idx="23">
                  <c:v>I.O.G and Hospital for Women &amp; Children</c:v>
                </c:pt>
                <c:pt idx="24">
                  <c:v>Govt Peripheral Hospital, Anna nagar</c:v>
                </c:pt>
                <c:pt idx="25">
                  <c:v>Tamil Nadu Multi Superspeciality Hospital, Omandurar</c:v>
                </c:pt>
                <c:pt idx="26">
                  <c:v>Govt. Raja Mirasdar Hospital, Tanjavur</c:v>
                </c:pt>
                <c:pt idx="27">
                  <c:v>Govt. R.S.R.M. Hospital</c:v>
                </c:pt>
                <c:pt idx="28">
                  <c:v>Karur Medical college &amp; Hospital, Karur</c:v>
                </c:pt>
                <c:pt idx="29">
                  <c:v>Pudukottai Medical college &amp; Hospital </c:v>
                </c:pt>
                <c:pt idx="30">
                  <c:v>Institute of Thoraic Medicine, Chetpet, Chennai</c:v>
                </c:pt>
                <c:pt idx="31">
                  <c:v>Arignar Anna Memorial Cancer Hospital, Karapettai, Kancheepuram</c:v>
                </c:pt>
                <c:pt idx="32">
                  <c:v>Institute of Mental Health</c:v>
                </c:pt>
                <c:pt idx="33">
                  <c:v>Govt Medical College &amp; ESI Hospital, Singanallur, Coimbatore</c:v>
                </c:pt>
                <c:pt idx="34">
                  <c:v>Govt. Peripheral, Tondiarpet</c:v>
                </c:pt>
                <c:pt idx="35">
                  <c:v>Govt. Ophthalmic Hospital</c:v>
                </c:pt>
                <c:pt idx="36">
                  <c:v>Govt. Peripheral,  Periyar nagar</c:v>
                </c:pt>
                <c:pt idx="37">
                  <c:v>Govt. Dental  Hospital, Chennai</c:v>
                </c:pt>
                <c:pt idx="38">
                  <c:v>Govt. Peripheral, K.K.Nagar</c:v>
                </c:pt>
                <c:pt idx="39">
                  <c:v>Govt. Thiruvotteswarar Hospital for Thoraic Medicine, Otteri</c:v>
                </c:pt>
                <c:pt idx="40">
                  <c:v>Govt. Hospital, Balarangapuram, Madurai</c:v>
                </c:pt>
                <c:pt idx="41">
                  <c:v>Govt.Hospital for Thoracic Medicine, Thoppur</c:v>
                </c:pt>
                <c:pt idx="42">
                  <c:v>P.A.Ramasamy Memorial Govt. Hospital, Kandiaperi</c:v>
                </c:pt>
                <c:pt idx="43">
                  <c:v>Govt. Rajaji T.B.Hospital, Trichy</c:v>
                </c:pt>
                <c:pt idx="44">
                  <c:v>Arignat Anna Memorial Cancer Institute, Kancheepuram</c:v>
                </c:pt>
                <c:pt idx="45">
                  <c:v>Govt. Institute of Rehabitation Medicine &amp; ALC, KK nagar</c:v>
                </c:pt>
                <c:pt idx="46">
                  <c:v>Govt. High Court Dispensary, Chennai</c:v>
                </c:pt>
                <c:pt idx="47">
                  <c:v>Infectious Diseases Hospital, Thoppur</c:v>
                </c:pt>
              </c:strCache>
            </c:strRef>
          </c:cat>
          <c:val>
            <c:numRef>
              <c:f>'Lab_Investigations Pivot Chart'!$B$4:$B$52</c:f>
              <c:numCache>
                <c:formatCode>General</c:formatCode>
                <c:ptCount val="48"/>
                <c:pt idx="0">
                  <c:v>22596085</c:v>
                </c:pt>
                <c:pt idx="1">
                  <c:v>15419108</c:v>
                </c:pt>
                <c:pt idx="2">
                  <c:v>12273516</c:v>
                </c:pt>
                <c:pt idx="3">
                  <c:v>10311972</c:v>
                </c:pt>
                <c:pt idx="4">
                  <c:v>9806970</c:v>
                </c:pt>
                <c:pt idx="5">
                  <c:v>8743188</c:v>
                </c:pt>
                <c:pt idx="6">
                  <c:v>7193799</c:v>
                </c:pt>
                <c:pt idx="7">
                  <c:v>7077091</c:v>
                </c:pt>
                <c:pt idx="8">
                  <c:v>7051024</c:v>
                </c:pt>
                <c:pt idx="9">
                  <c:v>6737267</c:v>
                </c:pt>
                <c:pt idx="10">
                  <c:v>6074846</c:v>
                </c:pt>
                <c:pt idx="11">
                  <c:v>6068714</c:v>
                </c:pt>
                <c:pt idx="12">
                  <c:v>5626959</c:v>
                </c:pt>
                <c:pt idx="13">
                  <c:v>5034101</c:v>
                </c:pt>
                <c:pt idx="14">
                  <c:v>4604965</c:v>
                </c:pt>
                <c:pt idx="15">
                  <c:v>4212717</c:v>
                </c:pt>
                <c:pt idx="16">
                  <c:v>4138199</c:v>
                </c:pt>
                <c:pt idx="17">
                  <c:v>4132024</c:v>
                </c:pt>
                <c:pt idx="18">
                  <c:v>3962869</c:v>
                </c:pt>
                <c:pt idx="19">
                  <c:v>3764439</c:v>
                </c:pt>
                <c:pt idx="20">
                  <c:v>3489897</c:v>
                </c:pt>
                <c:pt idx="21">
                  <c:v>3157408</c:v>
                </c:pt>
                <c:pt idx="22">
                  <c:v>3054079</c:v>
                </c:pt>
                <c:pt idx="23">
                  <c:v>2554075</c:v>
                </c:pt>
                <c:pt idx="24">
                  <c:v>1986994</c:v>
                </c:pt>
                <c:pt idx="25">
                  <c:v>1742514</c:v>
                </c:pt>
                <c:pt idx="26">
                  <c:v>1642683</c:v>
                </c:pt>
                <c:pt idx="27">
                  <c:v>1298393</c:v>
                </c:pt>
                <c:pt idx="28">
                  <c:v>1112399</c:v>
                </c:pt>
                <c:pt idx="29">
                  <c:v>771685</c:v>
                </c:pt>
                <c:pt idx="30">
                  <c:v>607006</c:v>
                </c:pt>
                <c:pt idx="31">
                  <c:v>593070</c:v>
                </c:pt>
                <c:pt idx="32">
                  <c:v>508464</c:v>
                </c:pt>
                <c:pt idx="33">
                  <c:v>448640</c:v>
                </c:pt>
                <c:pt idx="34">
                  <c:v>421173</c:v>
                </c:pt>
                <c:pt idx="35">
                  <c:v>351087</c:v>
                </c:pt>
                <c:pt idx="36">
                  <c:v>335649</c:v>
                </c:pt>
                <c:pt idx="37">
                  <c:v>275241</c:v>
                </c:pt>
                <c:pt idx="38">
                  <c:v>274909</c:v>
                </c:pt>
                <c:pt idx="39">
                  <c:v>272773</c:v>
                </c:pt>
                <c:pt idx="40">
                  <c:v>88805</c:v>
                </c:pt>
                <c:pt idx="41">
                  <c:v>79709</c:v>
                </c:pt>
                <c:pt idx="42">
                  <c:v>39710</c:v>
                </c:pt>
                <c:pt idx="43">
                  <c:v>36556</c:v>
                </c:pt>
                <c:pt idx="44">
                  <c:v>23708</c:v>
                </c:pt>
                <c:pt idx="45">
                  <c:v>7374</c:v>
                </c:pt>
                <c:pt idx="46">
                  <c:v>898</c:v>
                </c:pt>
                <c:pt idx="47">
                  <c:v>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F2-4CCB-8F63-31D3611BF7D0}"/>
            </c:ext>
          </c:extLst>
        </c:ser>
        <c:ser>
          <c:idx val="1"/>
          <c:order val="1"/>
          <c:tx>
            <c:strRef>
              <c:f>'Lab_Investigations Pivot Chart'!$C$3</c:f>
              <c:strCache>
                <c:ptCount val="1"/>
                <c:pt idx="0">
                  <c:v>Average of Growth%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'Lab_Investigations Pivot Chart'!$A$4:$A$52</c:f>
              <c:strCache>
                <c:ptCount val="48"/>
                <c:pt idx="0">
                  <c:v>Rajiv Gandhi Govt. General Hospital</c:v>
                </c:pt>
                <c:pt idx="1">
                  <c:v>Tirunelveli Medical College Hospital</c:v>
                </c:pt>
                <c:pt idx="2">
                  <c:v>Coimbatore Medical College Hospital</c:v>
                </c:pt>
                <c:pt idx="3">
                  <c:v>Govt Stanley Hospital</c:v>
                </c:pt>
                <c:pt idx="4">
                  <c:v>Govt. M.K.M.C.Hospital, Salem</c:v>
                </c:pt>
                <c:pt idx="5">
                  <c:v>Govt. Rajaji Hospital, Madurai</c:v>
                </c:pt>
                <c:pt idx="6">
                  <c:v>Dharmapuri Medical College Hospital</c:v>
                </c:pt>
                <c:pt idx="7">
                  <c:v>I.C.H &amp; Hospital for Children</c:v>
                </c:pt>
                <c:pt idx="8">
                  <c:v>Kilpauk Medical College Hospital</c:v>
                </c:pt>
                <c:pt idx="9">
                  <c:v>Mahatma Gandhi Memorial Medical College and Hospital, Trichy</c:v>
                </c:pt>
                <c:pt idx="10">
                  <c:v>Chengalpattu Medical College Hospital</c:v>
                </c:pt>
                <c:pt idx="11">
                  <c:v>Villupuram Medical College Hospital</c:v>
                </c:pt>
                <c:pt idx="12">
                  <c:v>KKMC Hospital, Asaripallam</c:v>
                </c:pt>
                <c:pt idx="13">
                  <c:v>Theni Medical College Hospital</c:v>
                </c:pt>
                <c:pt idx="14">
                  <c:v>Sivagangai Medical College Hospital</c:v>
                </c:pt>
                <c:pt idx="15">
                  <c:v>Institute of Social Obstetrics and Kasturbha Gandhi Hospital for Women and Children</c:v>
                </c:pt>
                <c:pt idx="16">
                  <c:v>Thanjavur Medical college Hospital</c:v>
                </c:pt>
                <c:pt idx="17">
                  <c:v>Thiruvarur Medical College Hospital</c:v>
                </c:pt>
                <c:pt idx="18">
                  <c:v>Govt. Thiruvannamalai Medical College Hospital</c:v>
                </c:pt>
                <c:pt idx="19">
                  <c:v>Vellore Medical College Hospital</c:v>
                </c:pt>
                <c:pt idx="20">
                  <c:v>Thoothukudi Medical College Hospital</c:v>
                </c:pt>
                <c:pt idx="21">
                  <c:v>Govt. Hospital of Thoraic Medicine, Tambaram</c:v>
                </c:pt>
                <c:pt idx="22">
                  <c:v>Institute of Non communicable  Diseases &amp; Govt. Royapettah Hospital </c:v>
                </c:pt>
                <c:pt idx="23">
                  <c:v>I.O.G and Hospital for Women &amp; Children</c:v>
                </c:pt>
                <c:pt idx="24">
                  <c:v>Govt Peripheral Hospital, Anna nagar</c:v>
                </c:pt>
                <c:pt idx="25">
                  <c:v>Tamil Nadu Multi Superspeciality Hospital, Omandurar</c:v>
                </c:pt>
                <c:pt idx="26">
                  <c:v>Govt. Raja Mirasdar Hospital, Tanjavur</c:v>
                </c:pt>
                <c:pt idx="27">
                  <c:v>Govt. R.S.R.M. Hospital</c:v>
                </c:pt>
                <c:pt idx="28">
                  <c:v>Karur Medical college &amp; Hospital, Karur</c:v>
                </c:pt>
                <c:pt idx="29">
                  <c:v>Pudukottai Medical college &amp; Hospital </c:v>
                </c:pt>
                <c:pt idx="30">
                  <c:v>Institute of Thoraic Medicine, Chetpet, Chennai</c:v>
                </c:pt>
                <c:pt idx="31">
                  <c:v>Arignar Anna Memorial Cancer Hospital, Karapettai, Kancheepuram</c:v>
                </c:pt>
                <c:pt idx="32">
                  <c:v>Institute of Mental Health</c:v>
                </c:pt>
                <c:pt idx="33">
                  <c:v>Govt Medical College &amp; ESI Hospital, Singanallur, Coimbatore</c:v>
                </c:pt>
                <c:pt idx="34">
                  <c:v>Govt. Peripheral, Tondiarpet</c:v>
                </c:pt>
                <c:pt idx="35">
                  <c:v>Govt. Ophthalmic Hospital</c:v>
                </c:pt>
                <c:pt idx="36">
                  <c:v>Govt. Peripheral,  Periyar nagar</c:v>
                </c:pt>
                <c:pt idx="37">
                  <c:v>Govt. Dental  Hospital, Chennai</c:v>
                </c:pt>
                <c:pt idx="38">
                  <c:v>Govt. Peripheral, K.K.Nagar</c:v>
                </c:pt>
                <c:pt idx="39">
                  <c:v>Govt. Thiruvotteswarar Hospital for Thoraic Medicine, Otteri</c:v>
                </c:pt>
                <c:pt idx="40">
                  <c:v>Govt. Hospital, Balarangapuram, Madurai</c:v>
                </c:pt>
                <c:pt idx="41">
                  <c:v>Govt.Hospital for Thoracic Medicine, Thoppur</c:v>
                </c:pt>
                <c:pt idx="42">
                  <c:v>P.A.Ramasamy Memorial Govt. Hospital, Kandiaperi</c:v>
                </c:pt>
                <c:pt idx="43">
                  <c:v>Govt. Rajaji T.B.Hospital, Trichy</c:v>
                </c:pt>
                <c:pt idx="44">
                  <c:v>Arignat Anna Memorial Cancer Institute, Kancheepuram</c:v>
                </c:pt>
                <c:pt idx="45">
                  <c:v>Govt. Institute of Rehabitation Medicine &amp; ALC, KK nagar</c:v>
                </c:pt>
                <c:pt idx="46">
                  <c:v>Govt. High Court Dispensary, Chennai</c:v>
                </c:pt>
                <c:pt idx="47">
                  <c:v>Infectious Diseases Hospital, Thoppur</c:v>
                </c:pt>
              </c:strCache>
            </c:strRef>
          </c:cat>
          <c:val>
            <c:numRef>
              <c:f>'Lab_Investigations Pivot Chart'!$C$4:$C$52</c:f>
              <c:numCache>
                <c:formatCode>General</c:formatCode>
                <c:ptCount val="48"/>
                <c:pt idx="0">
                  <c:v>63.3</c:v>
                </c:pt>
                <c:pt idx="1">
                  <c:v>44</c:v>
                </c:pt>
                <c:pt idx="2">
                  <c:v>71.2</c:v>
                </c:pt>
                <c:pt idx="3">
                  <c:v>89.1</c:v>
                </c:pt>
                <c:pt idx="4">
                  <c:v>132.6</c:v>
                </c:pt>
                <c:pt idx="5">
                  <c:v>20.399999999999999</c:v>
                </c:pt>
                <c:pt idx="6">
                  <c:v>51.7</c:v>
                </c:pt>
                <c:pt idx="7">
                  <c:v>112.6</c:v>
                </c:pt>
                <c:pt idx="8">
                  <c:v>78.5</c:v>
                </c:pt>
                <c:pt idx="9">
                  <c:v>69.2</c:v>
                </c:pt>
                <c:pt idx="10">
                  <c:v>112.8</c:v>
                </c:pt>
                <c:pt idx="11">
                  <c:v>294.10000000000002</c:v>
                </c:pt>
                <c:pt idx="12">
                  <c:v>17.399999999999999</c:v>
                </c:pt>
                <c:pt idx="13">
                  <c:v>18</c:v>
                </c:pt>
                <c:pt idx="14">
                  <c:v>346.3</c:v>
                </c:pt>
                <c:pt idx="15">
                  <c:v>52.3</c:v>
                </c:pt>
                <c:pt idx="16">
                  <c:v>125.4</c:v>
                </c:pt>
                <c:pt idx="17">
                  <c:v>174.7</c:v>
                </c:pt>
                <c:pt idx="18">
                  <c:v>445.2</c:v>
                </c:pt>
                <c:pt idx="19">
                  <c:v>14.2</c:v>
                </c:pt>
                <c:pt idx="20">
                  <c:v>86.1</c:v>
                </c:pt>
                <c:pt idx="21">
                  <c:v>19.2</c:v>
                </c:pt>
                <c:pt idx="22">
                  <c:v>82.8</c:v>
                </c:pt>
                <c:pt idx="23">
                  <c:v>41.5</c:v>
                </c:pt>
                <c:pt idx="24">
                  <c:v>38.1</c:v>
                </c:pt>
                <c:pt idx="25">
                  <c:v>0</c:v>
                </c:pt>
                <c:pt idx="26">
                  <c:v>18.7</c:v>
                </c:pt>
                <c:pt idx="27">
                  <c:v>109.4</c:v>
                </c:pt>
                <c:pt idx="28">
                  <c:v>0</c:v>
                </c:pt>
                <c:pt idx="29">
                  <c:v>0</c:v>
                </c:pt>
                <c:pt idx="30">
                  <c:v>49.4</c:v>
                </c:pt>
                <c:pt idx="31">
                  <c:v>51.4</c:v>
                </c:pt>
                <c:pt idx="32">
                  <c:v>-29.5</c:v>
                </c:pt>
                <c:pt idx="33">
                  <c:v>0</c:v>
                </c:pt>
                <c:pt idx="34">
                  <c:v>37.9</c:v>
                </c:pt>
                <c:pt idx="35">
                  <c:v>29</c:v>
                </c:pt>
                <c:pt idx="36">
                  <c:v>0</c:v>
                </c:pt>
                <c:pt idx="37">
                  <c:v>52.7</c:v>
                </c:pt>
                <c:pt idx="38">
                  <c:v>98.5</c:v>
                </c:pt>
                <c:pt idx="39">
                  <c:v>4.5999999999999996</c:v>
                </c:pt>
                <c:pt idx="40">
                  <c:v>-43.5</c:v>
                </c:pt>
                <c:pt idx="41">
                  <c:v>-37.200000000000003</c:v>
                </c:pt>
                <c:pt idx="42">
                  <c:v>-45.3</c:v>
                </c:pt>
                <c:pt idx="43">
                  <c:v>2.2999999999999998</c:v>
                </c:pt>
                <c:pt idx="44">
                  <c:v>80.099999999999994</c:v>
                </c:pt>
                <c:pt idx="45">
                  <c:v>-49.4</c:v>
                </c:pt>
                <c:pt idx="46">
                  <c:v>-91.8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F2-4CCB-8F63-31D3611BF7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71229103"/>
        <c:axId val="1271228143"/>
      </c:barChart>
      <c:catAx>
        <c:axId val="12712291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228143"/>
        <c:crosses val="autoZero"/>
        <c:auto val="1"/>
        <c:lblAlgn val="ctr"/>
        <c:lblOffset val="100"/>
        <c:noMultiLvlLbl val="0"/>
      </c:catAx>
      <c:valAx>
        <c:axId val="1271228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229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64770</xdr:rowOff>
    </xdr:from>
    <xdr:to>
      <xdr:col>2</xdr:col>
      <xdr:colOff>678180</xdr:colOff>
      <xdr:row>28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DE8969-209C-7B08-0F98-CEDA920975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182880</xdr:colOff>
      <xdr:row>6</xdr:row>
      <xdr:rowOff>224790</xdr:rowOff>
    </xdr:from>
    <xdr:to>
      <xdr:col>5</xdr:col>
      <xdr:colOff>998220</xdr:colOff>
      <xdr:row>14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0240FCB-D6FA-D517-29BB-612126E351F8}"/>
            </a:ext>
          </a:extLst>
        </xdr:cNvPr>
        <xdr:cNvSpPr txBox="1"/>
      </xdr:nvSpPr>
      <xdr:spPr>
        <a:xfrm>
          <a:off x="5433060" y="1558290"/>
          <a:ext cx="2644140" cy="12839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KEY FINDINGS:</a:t>
          </a:r>
        </a:p>
        <a:p>
          <a:r>
            <a:rPr lang="en-IN" sz="1100"/>
            <a:t>Rajiv Gandhi Hospital</a:t>
          </a:r>
        </a:p>
        <a:p>
          <a:r>
            <a:rPr lang="en-IN" sz="1100"/>
            <a:t>Thiruvarur LabGrowth: 445%</a:t>
          </a:r>
        </a:p>
        <a:p>
          <a:r>
            <a:rPr lang="en-IN" sz="1100"/>
            <a:t>Thanjavur</a:t>
          </a:r>
          <a:r>
            <a:rPr lang="en-IN" sz="1100" baseline="0"/>
            <a:t> Surgery Growth: 227%</a:t>
          </a:r>
        </a:p>
        <a:p>
          <a:r>
            <a:rPr lang="en-IN" sz="1100" baseline="0"/>
            <a:t>Total Patients Served: 143 Million</a:t>
          </a:r>
        </a:p>
        <a:p>
          <a:r>
            <a:rPr lang="en-IN" sz="1100" baseline="0"/>
            <a:t>Lab Tests Highest Overall: 180 Million</a:t>
          </a:r>
        </a:p>
      </xdr:txBody>
    </xdr:sp>
    <xdr:clientData/>
  </xdr:twoCellAnchor>
  <xdr:twoCellAnchor>
    <xdr:from>
      <xdr:col>0</xdr:col>
      <xdr:colOff>30480</xdr:colOff>
      <xdr:row>30</xdr:row>
      <xdr:rowOff>167640</xdr:rowOff>
    </xdr:from>
    <xdr:to>
      <xdr:col>2</xdr:col>
      <xdr:colOff>670560</xdr:colOff>
      <xdr:row>45</xdr:row>
      <xdr:rowOff>167640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9E62753-C9D9-4C2C-905C-8E24B460A5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30</xdr:row>
      <xdr:rowOff>167640</xdr:rowOff>
    </xdr:from>
    <xdr:to>
      <xdr:col>7</xdr:col>
      <xdr:colOff>1844040</xdr:colOff>
      <xdr:row>45</xdr:row>
      <xdr:rowOff>167640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03332E1-83AB-47B8-8F0E-9038258C71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30480</xdr:colOff>
      <xdr:row>46</xdr:row>
      <xdr:rowOff>0</xdr:rowOff>
    </xdr:from>
    <xdr:to>
      <xdr:col>2</xdr:col>
      <xdr:colOff>662940</xdr:colOff>
      <xdr:row>61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FD5617A-C542-4645-A1DD-183FDE41B1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0</xdr:colOff>
      <xdr:row>46</xdr:row>
      <xdr:rowOff>0</xdr:rowOff>
    </xdr:from>
    <xdr:to>
      <xdr:col>8</xdr:col>
      <xdr:colOff>0</xdr:colOff>
      <xdr:row>61</xdr:row>
      <xdr:rowOff>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E1824E77-114F-4799-A063-31BAC11436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1</xdr:row>
      <xdr:rowOff>171450</xdr:rowOff>
    </xdr:from>
    <xdr:to>
      <xdr:col>12</xdr:col>
      <xdr:colOff>518160</xdr:colOff>
      <xdr:row>16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DDD24D-B263-0AF1-C4A0-EE3546EB00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</xdr:colOff>
      <xdr:row>1</xdr:row>
      <xdr:rowOff>179070</xdr:rowOff>
    </xdr:from>
    <xdr:to>
      <xdr:col>10</xdr:col>
      <xdr:colOff>335280</xdr:colOff>
      <xdr:row>16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32EAEB-E16F-C58F-4D05-DFEBD40828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</xdr:colOff>
      <xdr:row>1</xdr:row>
      <xdr:rowOff>171450</xdr:rowOff>
    </xdr:from>
    <xdr:to>
      <xdr:col>10</xdr:col>
      <xdr:colOff>365760</xdr:colOff>
      <xdr:row>16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3848FC-F676-9946-CF90-980FCF417A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91440</xdr:colOff>
      <xdr:row>1</xdr:row>
      <xdr:rowOff>179070</xdr:rowOff>
    </xdr:from>
    <xdr:to>
      <xdr:col>10</xdr:col>
      <xdr:colOff>396240</xdr:colOff>
      <xdr:row>16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8C40EC-DD98-1548-893B-54D4432ADD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isha Poddar" refreshedDate="46136.861511921299" createdVersion="8" refreshedVersion="8" minRefreshableVersion="3" recordCount="59" xr:uid="{5BB2C5AD-1CD2-4FB4-A7DD-850C48DDC9F3}">
  <cacheSource type="worksheet">
    <worksheetSource name="Table1"/>
  </cacheSource>
  <cacheFields count="9">
    <cacheField name="S. No" numFmtId="0">
      <sharedItems/>
    </cacheField>
    <cacheField name="Institution_Name" numFmtId="0">
      <sharedItems count="59">
        <s v="Rajiv Gandhi Govt. General Hospital, Chennai 3"/>
        <s v="Govt Stanley Hospital, Chennai"/>
        <s v="Govt Kilpauk Medical College Hospital"/>
        <s v="Chengalpattu Medical College Hospital"/>
        <s v="Thanjavur Medical College Hospital"/>
        <s v="Govt. Raja Mirasdar Hospital, Tanjavur"/>
        <s v="Govt. Rajaji Hospital, Madurai"/>
        <s v="Coimbatore Medical College Hospital"/>
        <s v="Tirunelveli Medical College Hospital"/>
        <s v="Govt. Mohan Kumaramangalam Medical College and Hospital, Salem"/>
        <s v="Mahatma Gandhi Memorial Medical College Hospital, Trichy"/>
        <s v="Thoothukudi Medical College Hospital"/>
        <s v="Vellore Medical College Hospital"/>
        <s v="KKMC Hospital, Asaripallam"/>
        <s v="Theni Medical College Hospital"/>
        <s v="Dharmapuri Medical College Hospital"/>
        <s v="Villupuram Medical College Hospital"/>
        <s v="Thiruvarur Medical College Hospital"/>
        <s v="Govt. Sivagangai Medical College and Hospital"/>
        <s v="Govt. Thiruvannamalai Medical College Hospital"/>
        <s v="Multisuper Speciality Hospital, Omandurar Govt Estate"/>
        <s v="Karur Medical College &amp; Hospital,  Karur"/>
        <s v="Pudukottai Medical College &amp; Hospital ,Pudukottai"/>
        <s v="Govt Medical College &amp; ESI Hospital, Singanallur, coimbatore"/>
        <s v="Institute of Non Comm Dis. &amp; Govt Royapettah Hospital"/>
        <s v="I.O.G  Hospital for Women &amp; Children"/>
        <s v="I.C.H &amp; Hospital for Children"/>
        <s v="RIO &amp;Govt. Ophthalmic Hospital"/>
        <s v="Institute of Mental Health"/>
        <s v="Inst of Social Obst. &amp; Govt. KGH, Chennai"/>
        <s v="Govt. R.S.R.M. Hospital, Chennai"/>
        <s v="Govt Hospital of Thoraic Medicine, Tambaram"/>
        <s v="Govt. Thiruvotteswarar  Hospital of Thoraic Medicine, Otteri Chennai"/>
        <s v="Institute of Thoraic Medicine,  Chetpet"/>
        <s v="Govt. Peripheral.Hospital, Anna Nagar"/>
        <s v="Govt. Peripheral.Hospital, K.K.Nagar"/>
        <s v="Govt. Peripheral.Hospital., Periyar Nagar"/>
        <s v="Govt. Peripheral.Hospital, Tondiarpet"/>
        <s v="Govt. Institute of Rehab Medical KK nagar, Chennai"/>
        <s v="Govt. Dental College Hospital, 350823"/>
        <s v="Cancer Institute, Kanchipuram"/>
        <s v="Cancer Hospital, Karapettai, KPM"/>
        <s v="College of Physiotherapy, Trichy"/>
        <s v="Govt. Rajaji T.B. Hospital, Trichy"/>
        <s v="Govt. Hospital, Balarangapuram, Madurai"/>
        <s v="Infectious Diseases Hospital, Thoppur"/>
        <s v="Cholera Collegeegeection Centre, Thoppur"/>
        <s v="P.A.Ramasamy Memorial Govt. Hospital, Kandiaperi"/>
        <s v="Govt. High Court Dispensary, Chennai"/>
        <s v="Raj Bhavan Dispensary, chennai"/>
        <s v="MLA Hostel Dispensary, chennai"/>
        <s v="Secretariat Dispensary, chennai"/>
        <s v="Govt. High Court Dispensary, Madurai"/>
        <s v="Govt.Dispensary, Queen Mary's College, chennai"/>
        <s v="Modern Medicine Dispensary, Chennai"/>
        <s v="Tot Hunter Nagar Dispensary, Chennai"/>
        <s v="Govt press Dispensary, Chennai"/>
        <s v="Chepauk Dispensary, Chennai"/>
        <s v="DPI Complex Dispensary, Chennai"/>
      </sharedItems>
    </cacheField>
    <cacheField name="2013" numFmtId="0">
      <sharedItems containsSemiMixedTypes="0" containsString="0" containsNumber="1" containsInteger="1" minValue="0" maxValue="2702566"/>
    </cacheField>
    <cacheField name="2014" numFmtId="0">
      <sharedItems containsSemiMixedTypes="0" containsString="0" containsNumber="1" containsInteger="1" minValue="0" maxValue="2791065"/>
    </cacheField>
    <cacheField name="2015" numFmtId="0">
      <sharedItems containsSemiMixedTypes="0" containsString="0" containsNumber="1" containsInteger="1" minValue="0" maxValue="2747363"/>
    </cacheField>
    <cacheField name="2016" numFmtId="0">
      <sharedItems containsSemiMixedTypes="0" containsString="0" containsNumber="1" containsInteger="1" minValue="0" maxValue="2936104"/>
    </cacheField>
    <cacheField name="2017" numFmtId="0">
      <sharedItems containsSemiMixedTypes="0" containsString="0" containsNumber="1" containsInteger="1" minValue="0" maxValue="3479817"/>
    </cacheField>
    <cacheField name="Total" numFmtId="0">
      <sharedItems containsSemiMixedTypes="0" containsString="0" containsNumber="1" containsInteger="1" minValue="0" maxValue="13927388"/>
    </cacheField>
    <cacheField name="Growth%" numFmtId="0">
      <sharedItems containsString="0" containsBlank="1" containsNumber="1" minValue="-100" maxValue="252.2507486469408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isha Poddar" refreshedDate="46136.865272685187" createdVersion="8" refreshedVersion="8" minRefreshableVersion="3" recordCount="45" xr:uid="{CC0B9550-87BE-4D4A-BBF5-ACCEEA336D36}">
  <cacheSource type="worksheet">
    <worksheetSource name="Table2"/>
  </cacheSource>
  <cacheFields count="9">
    <cacheField name="S.No" numFmtId="0">
      <sharedItems/>
    </cacheField>
    <cacheField name="Institution_Name" numFmtId="0">
      <sharedItems count="45">
        <s v="Rajiv Gandhi Govt. General Hospital."/>
        <s v="Govt Stanley Hospital, Chennai"/>
        <s v="Govt Kilpauk Medical College Hospital Ch."/>
        <s v="Chengalpattu Medical College Hospital"/>
        <s v="Thanjavur Medical College Hospital"/>
        <s v="Govt. Raja Mirasdar Hospital, Tanjavur"/>
        <s v="Govt. Rajaji Hospital, Madurai"/>
        <s v="Coimbatore Medical College Hospital"/>
        <s v="Tirunelveli Medical College Hospital"/>
        <s v="Govt. MKMedical College and Hospital Salem"/>
        <s v="Mahatma Gandhi Memorial Trichy"/>
        <s v="Thoothukudi Medical College Hospital"/>
        <s v="Vellore Medical College Hospital"/>
        <s v="KKMC Hospital, Asaripallam"/>
        <s v="Theni Medical College Hospital"/>
        <s v="Dharmapuri Medical College Hospital"/>
        <s v="Villupuram Medical College Hospital"/>
        <s v="Thiruvarur Medical College Hospital"/>
        <s v="Govt. Sivagangai Medical College and Hospital"/>
        <s v="Govt. Thiruvannamalai Medical College Hospital"/>
        <s v="Multisuper Speciality Hospital, Omandurar Govt Estate"/>
        <s v="Karur Medical College &amp; Hospital Karur"/>
        <s v="Pudukottai Medical College &amp; Hospital ,Pudukottai"/>
        <s v="Govt Medical College &amp; ESI Hospital, Singanallur, coimbatore"/>
        <s v="Inst of Non Comm Dis. &amp; GRH Ch"/>
        <s v="I.O.G  Hospital for Women &amp; Children"/>
        <s v="I.C.H &amp; Hospital for Children"/>
        <s v="RIO &amp; Govt. Ophthalmic Hospital"/>
        <s v="Institute of Mental Health"/>
        <s v="Institute of Social Obst. &amp; Govt. KGH Chennai"/>
        <s v="Govt. R.S.R.M. Hospital, Chennai"/>
        <s v="Govt Hospital of Thoracic Medical, Tambaram"/>
        <s v="Govt. Thiruvotteswarar  Hospital of Thoracic Medicine, Otteri Chennai"/>
        <s v="Govt. Peripheral Hospital, Anna Nagar"/>
        <s v="Govt. Peripheral Hospital, K.K.Nagar"/>
        <s v="Govt. Peripheral Hospital, Periyar Nagar"/>
        <s v="Govt. Peripheral Hospital, Tondiarpet"/>
        <s v="Govt. Institute of Rehab Medical KK Nagar, Chennai"/>
        <s v="Arignar Anna Memorial Cancer Hospital, Karapettai, KPM"/>
        <s v="Govt. Rajaji T.B.Hospital, Trichy"/>
        <s v="Govt. Hospital, Balarangapuram, Madurai"/>
        <s v="Govt. Hospital for Thoracic Medicine, Thoppur, Madurai"/>
        <s v="Infectious Diseases Hospital Thoppur, Madurai"/>
        <s v="Cholera College Centre,  Thoppur"/>
        <s v="P.A.Ramasamy Memorial Govt. Hospital, Kandiaperi, Tirunelveli Dist."/>
      </sharedItems>
    </cacheField>
    <cacheField name="2013" numFmtId="0">
      <sharedItems containsSemiMixedTypes="0" containsString="0" containsNumber="1" containsInteger="1" minValue="0" maxValue="874023"/>
    </cacheField>
    <cacheField name="2014" numFmtId="0">
      <sharedItems containsSemiMixedTypes="0" containsString="0" containsNumber="1" containsInteger="1" minValue="0" maxValue="890566"/>
    </cacheField>
    <cacheField name="2015" numFmtId="0">
      <sharedItems containsSemiMixedTypes="0" containsString="0" containsNumber="1" containsInteger="1" minValue="0" maxValue="916815"/>
    </cacheField>
    <cacheField name="2016" numFmtId="0">
      <sharedItems containsSemiMixedTypes="0" containsString="0" containsNumber="1" containsInteger="1" minValue="0" maxValue="911940"/>
    </cacheField>
    <cacheField name="2017" numFmtId="0">
      <sharedItems containsSemiMixedTypes="0" containsString="0" containsNumber="1" containsInteger="1" minValue="843" maxValue="909624"/>
    </cacheField>
    <cacheField name="Total" numFmtId="0">
      <sharedItems containsSemiMixedTypes="0" containsString="0" containsNumber="1" containsInteger="1" minValue="5501" maxValue="4502968"/>
    </cacheField>
    <cacheField name="Growth%" numFmtId="0">
      <sharedItems containsSemiMixedTypes="0" containsString="0" containsNumber="1" minValue="-58.6" maxValue="18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isha Poddar" refreshedDate="46136.868026388889" createdVersion="8" refreshedVersion="8" minRefreshableVersion="3" recordCount="41" xr:uid="{11122B2D-107E-4AAE-8E9F-FA1F93504F28}">
  <cacheSource type="worksheet">
    <worksheetSource name="Table3"/>
  </cacheSource>
  <cacheFields count="9">
    <cacheField name="S.No" numFmtId="0">
      <sharedItems/>
    </cacheField>
    <cacheField name="Institution_Name" numFmtId="0">
      <sharedItems count="41">
        <s v="Rajiv Gandhi Govt. General  Hospital"/>
        <s v="Govt. Stanley Hospital"/>
        <s v="Kilpauk Medical College Hospital"/>
        <s v="Chengalpattu Medical College Hospital"/>
        <s v="Thanjavur Medical College Hospital"/>
        <s v="Govt. Raja Mirasdar Hospital, Thanjavur"/>
        <s v="Govt. Rajaji Hospital, Madurai"/>
        <s v="Coimbatore Medical College Hospital"/>
        <s v="Tirunelveli Medical College Hospital"/>
        <s v="Govt. Mohan Kumaramangalam Hospital, Salem"/>
        <s v="Mahathma Gandhi Memorial Hospital, Trichy"/>
        <s v="Thoothkudi Medical Hospital, Thoothukudi"/>
        <s v="Vellore Medical Hospital"/>
        <s v="KKMC Hospital, Aasaripallam"/>
        <s v="Theni Medical Hospital, Theni"/>
        <s v="Dharmapuri Medical Hospital, Dharmapuri"/>
        <s v="Villupuram Medical Hospital, Villupuram"/>
        <s v="Thiruvarur Medical Hospital"/>
        <s v="Govt. Sivagangai Medical College and Hospital"/>
        <s v="Govt. Thiruvannamalai Medical College and Hospital"/>
        <s v="TN Multi Superspeciality Hospital, Omandurar"/>
        <s v="Karur Medical College &amp; Hospital, Karur"/>
        <s v="Pudukottai Medical College &amp; Hospital, Pudukottai"/>
        <s v="Govt Medical College &amp; ESI Hospital, Singanallur, Coimbatore"/>
        <s v="Govt. Royapettah Hospital"/>
        <s v="IOG, Hospital for Women &amp;Children"/>
        <s v="ICH for children"/>
        <s v="RIO and Govt. Ophthalmic  Hospital "/>
        <s v="Govt. KasturbaGandhi Hospital"/>
        <s v="Govt. RSRM Hospital"/>
        <s v="Govt. Thoraic Medicine, Tambaram"/>
        <s v="Govt. Thiruvotteswarar Hospital, Otteri"/>
        <s v="Govt. Peripheral Hospital, Anna Nagar"/>
        <s v="Govt. Peripheral Hospital, K.K Nagar"/>
        <s v="Govt. Peripheral Hospital, Periyar Nagar"/>
        <s v="Govt. Peripheral Hospital, Tondiarpet"/>
        <s v="Govt. Institute of Rehabilization Medicine"/>
        <s v="Govt. Dental Hospital, Chennai"/>
        <s v="Cancer  Hospital, Karapettai"/>
        <s v="Govt. Balarangapuram,  Madurai"/>
        <s v="P.A.Ramasamy Memorial Govt Hospital, Kandiyaperi"/>
      </sharedItems>
    </cacheField>
    <cacheField name="2013" numFmtId="0">
      <sharedItems containsSemiMixedTypes="0" containsString="0" containsNumber="1" containsInteger="1" minValue="0" maxValue="85988"/>
    </cacheField>
    <cacheField name="2014" numFmtId="0">
      <sharedItems containsSemiMixedTypes="0" containsString="0" containsNumber="1" containsInteger="1" minValue="0" maxValue="81456"/>
    </cacheField>
    <cacheField name="2015" numFmtId="0">
      <sharedItems containsSemiMixedTypes="0" containsString="0" containsNumber="1" containsInteger="1" minValue="0" maxValue="80368"/>
    </cacheField>
    <cacheField name="2016" numFmtId="0">
      <sharedItems containsSemiMixedTypes="0" containsString="0" containsNumber="1" containsInteger="1" minValue="0" maxValue="82006"/>
    </cacheField>
    <cacheField name="2017" numFmtId="0">
      <sharedItems containsSemiMixedTypes="0" containsString="0" containsNumber="1" containsInteger="1" minValue="0" maxValue="76023"/>
    </cacheField>
    <cacheField name="Total" numFmtId="0">
      <sharedItems containsSemiMixedTypes="0" containsString="0" containsNumber="1" containsInteger="1" minValue="569" maxValue="400866"/>
    </cacheField>
    <cacheField name="Growth%" numFmtId="0">
      <sharedItems containsSemiMixedTypes="0" containsString="0" containsNumber="1" minValue="-100" maxValue="25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isha Poddar" refreshedDate="46136.870062847222" createdVersion="8" refreshedVersion="8" minRefreshableVersion="3" recordCount="48" xr:uid="{33CD9B67-DF28-44BF-88C4-0E1ADFF08CED}">
  <cacheSource type="worksheet">
    <worksheetSource name="Table4"/>
  </cacheSource>
  <cacheFields count="9">
    <cacheField name="S.No" numFmtId="0">
      <sharedItems/>
    </cacheField>
    <cacheField name="Institution_Name" numFmtId="0">
      <sharedItems count="48">
        <s v="Rajiv Gandhi Govt. General Hospital"/>
        <s v="Govt Stanley Hospital"/>
        <s v="Kilpauk Medical College Hospital"/>
        <s v="Chengalpattu Medical College Hospital"/>
        <s v="Thanjavur Medical college Hospital"/>
        <s v="Govt. Raja Mirasdar Hospital, Tanjavur"/>
        <s v="Govt. Rajaji Hospital, Madurai"/>
        <s v="Coimbatore Medical College Hospital"/>
        <s v="Tirunelveli Medical College Hospital"/>
        <s v="Govt. M.K.M.C.Hospital, Salem"/>
        <s v="Mahatma Gandhi Memorial Medical College and Hospital, Trichy"/>
        <s v="Thoothukudi Medical College Hospital"/>
        <s v="Vellore Medical College Hospital"/>
        <s v="KKMC Hospital, Asaripallam"/>
        <s v="Theni Medical College Hospital"/>
        <s v="Dharmapuri Medical College Hospital"/>
        <s v="Villupuram Medical College Hospital"/>
        <s v="Thiruvarur Medical College Hospital"/>
        <s v="Sivagangai Medical College Hospital"/>
        <s v="Govt. Thiruvannamalai Medical College Hospital"/>
        <s v="Tamil Nadu Multi Superspeciality Hospital, Omandurar"/>
        <s v="Karur Medical college &amp; Hospital, Karur"/>
        <s v="Pudukottai Medical college &amp; Hospital "/>
        <s v="Govt Medical College &amp; ESI Hospital, Singanallur, Coimbatore"/>
        <s v="Institute of Non communicable  Diseases &amp; Govt. Royapettah Hospital "/>
        <s v="I.O.G and Hospital for Women &amp; Children"/>
        <s v="I.C.H &amp; Hospital for Children"/>
        <s v="Govt. Ophthalmic Hospital"/>
        <s v="Institute of Mental Health"/>
        <s v="Institute of Social Obstetrics and Kasturbha Gandhi Hospital for Women and Children"/>
        <s v="Govt. R.S.R.M. Hospital"/>
        <s v="Govt. Hospital of Thoraic Medicine, Tambaram"/>
        <s v="Govt. Thiruvotteswarar Hospital for Thoraic Medicine, Otteri"/>
        <s v="Institute of Thoraic Medicine, Chetpet, Chennai"/>
        <s v="Govt Peripheral Hospital, Anna nagar"/>
        <s v="Govt. Peripheral, K.K.Nagar"/>
        <s v="Govt. Peripheral,  Periyar nagar"/>
        <s v="Govt. Peripheral, Tondiarpet"/>
        <s v="Govt. Institute of Rehabitation Medicine &amp; ALC, KK nagar"/>
        <s v="Govt. Dental  Hospital, Chennai"/>
        <s v="Arignat Anna Memorial Cancer Institute, Kancheepuram"/>
        <s v="Arignar Anna Memorial Cancer Hospital, Karapettai, Kancheepuram"/>
        <s v="Govt. Rajaji T.B.Hospital, Trichy"/>
        <s v="Govt. Hospital, Balarangapuram, Madurai"/>
        <s v="Govt.Hospital for Thoracic Medicine, Thoppur"/>
        <s v="Infectious Diseases Hospital, Thoppur"/>
        <s v="P.A.Ramasamy Memorial Govt. Hospital, Kandiaperi"/>
        <s v="Govt. High Court Dispensary, Chennai"/>
      </sharedItems>
    </cacheField>
    <cacheField name="2013" numFmtId="0">
      <sharedItems containsSemiMixedTypes="0" containsString="0" containsNumber="1" containsInteger="1" minValue="0" maxValue="3283797"/>
    </cacheField>
    <cacheField name="2014" numFmtId="0">
      <sharedItems containsSemiMixedTypes="0" containsString="0" containsNumber="1" containsInteger="1" minValue="0" maxValue="3803846"/>
    </cacheField>
    <cacheField name="2015" numFmtId="0">
      <sharedItems containsSemiMixedTypes="0" containsString="0" containsNumber="1" containsInteger="1" minValue="0" maxValue="4531234"/>
    </cacheField>
    <cacheField name="2016" numFmtId="0">
      <sharedItems containsSemiMixedTypes="0" containsString="0" containsNumber="1" containsInteger="1" minValue="0" maxValue="5615130"/>
    </cacheField>
    <cacheField name="2017" numFmtId="0">
      <sharedItems containsSemiMixedTypes="0" containsString="0" containsNumber="1" containsInteger="1" minValue="68" maxValue="5362078"/>
    </cacheField>
    <cacheField name="Total" numFmtId="0">
      <sharedItems containsSemiMixedTypes="0" containsString="0" containsNumber="1" containsInteger="1" minValue="676" maxValue="22596085"/>
    </cacheField>
    <cacheField name="Growth%" numFmtId="0">
      <sharedItems containsSemiMixedTypes="0" containsString="0" containsNumber="1" minValue="-91.8" maxValue="445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">
  <r>
    <s v="1"/>
    <x v="0"/>
    <n v="2702566"/>
    <n v="2791065"/>
    <n v="2747363"/>
    <n v="2936104"/>
    <n v="2750290"/>
    <n v="13927388"/>
    <n v="1.8"/>
  </r>
  <r>
    <s v="2"/>
    <x v="1"/>
    <n v="2056720"/>
    <n v="2097409"/>
    <n v="2297357"/>
    <n v="2434812"/>
    <n v="3479817"/>
    <n v="12366115"/>
    <n v="69.2"/>
  </r>
  <r>
    <s v="3"/>
    <x v="2"/>
    <n v="844077"/>
    <n v="840055"/>
    <n v="884702"/>
    <n v="976317"/>
    <n v="1085369"/>
    <n v="4630520"/>
    <n v="28.6"/>
  </r>
  <r>
    <s v="4"/>
    <x v="3"/>
    <n v="1169962"/>
    <n v="1109754"/>
    <n v="1166155"/>
    <n v="1144448"/>
    <n v="1168507"/>
    <n v="5758826"/>
    <n v="-0.1"/>
  </r>
  <r>
    <s v="5"/>
    <x v="4"/>
    <n v="1141168"/>
    <n v="1139562"/>
    <n v="1117473"/>
    <n v="837939"/>
    <n v="828404"/>
    <n v="5064546"/>
    <n v="-27.4"/>
  </r>
  <r>
    <s v="6"/>
    <x v="5"/>
    <n v="470522"/>
    <n v="468659"/>
    <n v="534724"/>
    <n v="548200"/>
    <n v="550364"/>
    <n v="2572469"/>
    <n v="17"/>
  </r>
  <r>
    <s v="7"/>
    <x v="6"/>
    <n v="2562170"/>
    <n v="2497722"/>
    <n v="2675649"/>
    <n v="2677264"/>
    <n v="2530783"/>
    <n v="12943588"/>
    <n v="-1.2"/>
  </r>
  <r>
    <s v="8"/>
    <x v="7"/>
    <n v="1742486"/>
    <n v="1787631"/>
    <n v="2015663"/>
    <n v="1751989"/>
    <n v="1779626"/>
    <n v="9077395"/>
    <n v="2.1"/>
  </r>
  <r>
    <s v="9"/>
    <x v="8"/>
    <n v="1107714"/>
    <n v="1331301"/>
    <n v="1338448"/>
    <n v="1313015"/>
    <n v="1392365"/>
    <n v="6482843"/>
    <n v="25.7"/>
  </r>
  <r>
    <s v="10"/>
    <x v="9"/>
    <n v="1755810"/>
    <n v="1781020"/>
    <n v="1305480"/>
    <n v="1418904"/>
    <n v="1533574"/>
    <n v="7794788"/>
    <n v="-12.7"/>
  </r>
  <r>
    <s v="11"/>
    <x v="10"/>
    <n v="873469"/>
    <n v="972724"/>
    <n v="1013945"/>
    <n v="1147782"/>
    <n v="1132533"/>
    <n v="5140453"/>
    <n v="29.7"/>
  </r>
  <r>
    <s v="12"/>
    <x v="11"/>
    <n v="534791"/>
    <n v="576514"/>
    <n v="581352"/>
    <n v="552226"/>
    <n v="577943"/>
    <n v="2822826"/>
    <n v="8.1"/>
  </r>
  <r>
    <s v="13"/>
    <x v="12"/>
    <n v="646262"/>
    <n v="658215"/>
    <n v="704756"/>
    <n v="739201"/>
    <n v="752239"/>
    <n v="3500673"/>
    <n v="16.399999999999999"/>
  </r>
  <r>
    <s v="14"/>
    <x v="13"/>
    <n v="764933"/>
    <n v="753211"/>
    <n v="785859"/>
    <n v="747148"/>
    <n v="782842"/>
    <n v="3833993"/>
    <n v="2.2999999999999998"/>
  </r>
  <r>
    <s v="15"/>
    <x v="14"/>
    <n v="529038"/>
    <n v="533205"/>
    <n v="597117"/>
    <n v="620868"/>
    <n v="645846"/>
    <n v="2926074"/>
    <n v="22.1"/>
  </r>
  <r>
    <s v="16"/>
    <x v="15"/>
    <n v="691142"/>
    <n v="635587"/>
    <n v="711822"/>
    <n v="843473"/>
    <n v="928969"/>
    <n v="3810993"/>
    <n v="34.4"/>
  </r>
  <r>
    <s v="17"/>
    <x v="16"/>
    <n v="702062"/>
    <n v="699736"/>
    <n v="719655"/>
    <n v="819379"/>
    <n v="851538"/>
    <n v="3792370"/>
    <n v="21.3"/>
  </r>
  <r>
    <s v="18"/>
    <x v="17"/>
    <n v="337364"/>
    <n v="350622"/>
    <n v="432874"/>
    <n v="402993"/>
    <n v="509276"/>
    <n v="2033129"/>
    <n v="51"/>
  </r>
  <r>
    <s v="19"/>
    <x v="18"/>
    <n v="385649"/>
    <n v="396110"/>
    <n v="417026"/>
    <n v="443912"/>
    <n v="455701"/>
    <n v="2098398"/>
    <n v="18.2"/>
  </r>
  <r>
    <s v="20"/>
    <x v="19"/>
    <n v="793941"/>
    <n v="722266"/>
    <n v="725219"/>
    <n v="886428"/>
    <n v="1042182"/>
    <n v="4170036"/>
    <n v="31.3"/>
  </r>
  <r>
    <s v="21"/>
    <x v="20"/>
    <n v="0"/>
    <n v="74921"/>
    <n v="111580"/>
    <n v="145596"/>
    <n v="180766"/>
    <n v="512863"/>
    <n v="252.25074864694085"/>
  </r>
  <r>
    <s v="22"/>
    <x v="21"/>
    <n v="0"/>
    <n v="0"/>
    <n v="0"/>
    <n v="963261"/>
    <n v="1221391"/>
    <n v="2184652"/>
    <n v="0"/>
  </r>
  <r>
    <s v="23"/>
    <x v="22"/>
    <n v="0"/>
    <n v="0"/>
    <n v="0"/>
    <n v="578351"/>
    <n v="556562"/>
    <n v="1134913"/>
    <n v="0"/>
  </r>
  <r>
    <s v="24"/>
    <x v="23"/>
    <n v="0"/>
    <n v="0"/>
    <n v="0"/>
    <n v="0"/>
    <n v="324518"/>
    <n v="324518"/>
    <n v="0"/>
  </r>
  <r>
    <s v="25"/>
    <x v="24"/>
    <n v="802069"/>
    <n v="814184"/>
    <n v="833352"/>
    <n v="923751"/>
    <n v="946725"/>
    <n v="4320081"/>
    <n v="18"/>
  </r>
  <r>
    <s v="26"/>
    <x v="25"/>
    <n v="133301"/>
    <n v="144295"/>
    <n v="154202"/>
    <n v="171051"/>
    <n v="165374"/>
    <n v="768223"/>
    <n v="24.1"/>
  </r>
  <r>
    <s v="27"/>
    <x v="26"/>
    <n v="561511"/>
    <n v="534180"/>
    <n v="594760"/>
    <n v="594307"/>
    <n v="639093"/>
    <n v="2923851"/>
    <n v="13.8"/>
  </r>
  <r>
    <s v="28"/>
    <x v="27"/>
    <n v="256614"/>
    <n v="277339"/>
    <n v="254208"/>
    <n v="265290"/>
    <n v="236711"/>
    <n v="1290162"/>
    <n v="-7.8"/>
  </r>
  <r>
    <s v="29"/>
    <x v="28"/>
    <n v="133122"/>
    <n v="141735"/>
    <n v="121411"/>
    <n v="123743"/>
    <n v="123999"/>
    <n v="644010"/>
    <n v="-6.9"/>
  </r>
  <r>
    <s v="30"/>
    <x v="29"/>
    <n v="254895"/>
    <n v="239947"/>
    <n v="356667"/>
    <n v="441347"/>
    <n v="512661"/>
    <n v="1805517"/>
    <n v="101.1"/>
  </r>
  <r>
    <s v="31"/>
    <x v="30"/>
    <n v="85432"/>
    <n v="86946"/>
    <n v="90794"/>
    <n v="85097"/>
    <n v="86607"/>
    <n v="434876"/>
    <n v="1.4"/>
  </r>
  <r>
    <s v="32"/>
    <x v="31"/>
    <n v="205101"/>
    <n v="182203"/>
    <n v="176059"/>
    <n v="167230"/>
    <n v="165386"/>
    <n v="895979"/>
    <n v="-19.399999999999999"/>
  </r>
  <r>
    <s v="33"/>
    <x v="32"/>
    <n v="82473"/>
    <n v="79094"/>
    <n v="62590"/>
    <n v="63019"/>
    <n v="68565"/>
    <n v="355741"/>
    <n v="-16.899999999999999"/>
  </r>
  <r>
    <s v="34"/>
    <x v="33"/>
    <n v="205802"/>
    <n v="202721"/>
    <n v="194798"/>
    <n v="190343"/>
    <n v="168539"/>
    <n v="962203"/>
    <n v="-18.100000000000001"/>
  </r>
  <r>
    <s v="35"/>
    <x v="34"/>
    <n v="311045"/>
    <n v="296665"/>
    <n v="262680"/>
    <n v="248255"/>
    <n v="256982"/>
    <n v="1375627"/>
    <n v="-17.399999999999999"/>
  </r>
  <r>
    <s v="36"/>
    <x v="35"/>
    <n v="344698"/>
    <n v="349107"/>
    <n v="401251"/>
    <n v="378238"/>
    <n v="390891"/>
    <n v="1864185"/>
    <n v="13.4"/>
  </r>
  <r>
    <s v="37"/>
    <x v="36"/>
    <n v="0"/>
    <n v="0"/>
    <n v="312385"/>
    <n v="395102"/>
    <n v="426624"/>
    <n v="1134111"/>
    <n v="0"/>
  </r>
  <r>
    <s v="38"/>
    <x v="37"/>
    <n v="286075"/>
    <n v="288006"/>
    <n v="293591"/>
    <n v="297902"/>
    <n v="291129"/>
    <n v="1456703"/>
    <n v="1.8"/>
  </r>
  <r>
    <s v="39"/>
    <x v="38"/>
    <n v="105287"/>
    <n v="100673"/>
    <n v="85608"/>
    <n v="65408"/>
    <n v="58994"/>
    <n v="415970"/>
    <n v="-44"/>
  </r>
  <r>
    <s v="40"/>
    <x v="39"/>
    <n v="362479"/>
    <n v="302108"/>
    <n v="346358"/>
    <n v="324100"/>
    <n v="0"/>
    <n v="1335045"/>
    <n v="-100"/>
  </r>
  <r>
    <s v="41"/>
    <x v="40"/>
    <n v="6395"/>
    <n v="9353"/>
    <n v="12256"/>
    <n v="11996"/>
    <n v="12140"/>
    <n v="52140"/>
    <n v="89.8"/>
  </r>
  <r>
    <s v="42"/>
    <x v="41"/>
    <n v="29124"/>
    <n v="28226"/>
    <n v="26730"/>
    <n v="30972"/>
    <n v="30920"/>
    <n v="145972"/>
    <n v="6.2"/>
  </r>
  <r>
    <s v="43"/>
    <x v="42"/>
    <n v="16781"/>
    <n v="13873"/>
    <n v="16030"/>
    <n v="15512"/>
    <n v="11986"/>
    <n v="74182"/>
    <n v="-28.6"/>
  </r>
  <r>
    <s v="44"/>
    <x v="43"/>
    <n v="32139"/>
    <n v="34429"/>
    <n v="37047"/>
    <n v="41257"/>
    <n v="33242"/>
    <n v="178114"/>
    <n v="3.4"/>
  </r>
  <r>
    <s v="45"/>
    <x v="44"/>
    <n v="194749"/>
    <n v="212731"/>
    <n v="206392"/>
    <n v="140121"/>
    <n v="125721"/>
    <n v="879714"/>
    <n v="-35.4"/>
  </r>
  <r>
    <s v="46"/>
    <x v="45"/>
    <n v="0"/>
    <n v="0"/>
    <n v="0"/>
    <n v="0"/>
    <n v="0"/>
    <n v="0"/>
    <m/>
  </r>
  <r>
    <s v="47"/>
    <x v="46"/>
    <n v="0"/>
    <n v="0"/>
    <n v="0"/>
    <n v="0"/>
    <n v="0"/>
    <n v="0"/>
    <m/>
  </r>
  <r>
    <s v="48"/>
    <x v="47"/>
    <n v="122348"/>
    <n v="111692"/>
    <n v="117528"/>
    <n v="111041"/>
    <n v="114113"/>
    <n v="576722"/>
    <n v="-6.7"/>
  </r>
  <r>
    <s v="49"/>
    <x v="48"/>
    <n v="20400"/>
    <n v="22331"/>
    <n v="20894"/>
    <n v="20011"/>
    <n v="18370"/>
    <n v="102006"/>
    <n v="-10"/>
  </r>
  <r>
    <s v="50"/>
    <x v="49"/>
    <n v="0"/>
    <n v="21331"/>
    <n v="9513"/>
    <n v="9020"/>
    <n v="5975"/>
    <n v="45839"/>
    <n v="0"/>
  </r>
  <r>
    <s v="51"/>
    <x v="50"/>
    <n v="0"/>
    <n v="16271"/>
    <n v="10354"/>
    <n v="8382"/>
    <n v="7553"/>
    <n v="42560"/>
    <n v="0"/>
  </r>
  <r>
    <s v="52"/>
    <x v="51"/>
    <n v="0"/>
    <n v="80215"/>
    <n v="62328"/>
    <n v="64104"/>
    <n v="61399"/>
    <n v="268046"/>
    <n v="0"/>
  </r>
  <r>
    <s v="53"/>
    <x v="52"/>
    <n v="0"/>
    <n v="14652"/>
    <n v="12203"/>
    <n v="12197"/>
    <n v="16940"/>
    <n v="55992"/>
    <n v="0"/>
  </r>
  <r>
    <s v="54"/>
    <x v="53"/>
    <n v="0"/>
    <n v="0"/>
    <n v="6030"/>
    <n v="6052"/>
    <n v="3079"/>
    <n v="15161"/>
    <n v="0"/>
  </r>
  <r>
    <s v="55"/>
    <x v="54"/>
    <n v="0"/>
    <n v="0"/>
    <n v="6860"/>
    <n v="6801"/>
    <n v="6161"/>
    <n v="19822"/>
    <n v="0"/>
  </r>
  <r>
    <s v="56"/>
    <x v="55"/>
    <n v="0"/>
    <n v="0"/>
    <n v="18088"/>
    <n v="16451"/>
    <n v="13803"/>
    <n v="48342"/>
    <n v="0"/>
  </r>
  <r>
    <s v="57"/>
    <x v="56"/>
    <n v="0"/>
    <n v="0"/>
    <n v="14970"/>
    <n v="17301"/>
    <n v="18409"/>
    <n v="50680"/>
    <n v="0"/>
  </r>
  <r>
    <s v="58"/>
    <x v="57"/>
    <n v="0"/>
    <n v="0"/>
    <n v="43280"/>
    <n v="30423"/>
    <n v="25943"/>
    <n v="99646"/>
    <n v="0"/>
  </r>
  <r>
    <s v="59"/>
    <x v="58"/>
    <n v="0"/>
    <n v="0"/>
    <n v="10876"/>
    <n v="9931"/>
    <n v="9555"/>
    <n v="30362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s v="1"/>
    <x v="0"/>
    <n v="874023"/>
    <n v="890566"/>
    <n v="916815"/>
    <n v="911940"/>
    <n v="909624"/>
    <n v="4502968"/>
    <n v="4.0999999999999996"/>
  </r>
  <r>
    <s v="2"/>
    <x v="1"/>
    <n v="437446"/>
    <n v="455428"/>
    <n v="468845"/>
    <n v="511515"/>
    <n v="510391"/>
    <n v="2383625"/>
    <n v="16.7"/>
  </r>
  <r>
    <s v="3"/>
    <x v="2"/>
    <n v="273677"/>
    <n v="271975"/>
    <n v="302175"/>
    <n v="333543"/>
    <n v="336590"/>
    <n v="1517960"/>
    <n v="23"/>
  </r>
  <r>
    <s v="4"/>
    <x v="3"/>
    <n v="245899"/>
    <n v="241016"/>
    <n v="248935"/>
    <n v="263181"/>
    <n v="289638"/>
    <n v="1288669"/>
    <n v="17.8"/>
  </r>
  <r>
    <s v="5"/>
    <x v="4"/>
    <n v="391421"/>
    <n v="390152"/>
    <n v="395142"/>
    <n v="406028"/>
    <n v="395713"/>
    <n v="1978456"/>
    <n v="1.1000000000000001"/>
  </r>
  <r>
    <s v="6"/>
    <x v="5"/>
    <n v="251861"/>
    <n v="257470"/>
    <n v="294250"/>
    <n v="299180"/>
    <n v="302209"/>
    <n v="1404970"/>
    <n v="20"/>
  </r>
  <r>
    <s v="7"/>
    <x v="6"/>
    <n v="832691"/>
    <n v="855604"/>
    <n v="848065"/>
    <n v="848158"/>
    <n v="857712"/>
    <n v="4242230"/>
    <n v="3"/>
  </r>
  <r>
    <s v="8"/>
    <x v="7"/>
    <n v="427281"/>
    <n v="450679"/>
    <n v="491126"/>
    <n v="495770"/>
    <n v="566899"/>
    <n v="2431755"/>
    <n v="32.700000000000003"/>
  </r>
  <r>
    <s v="9"/>
    <x v="8"/>
    <n v="432400"/>
    <n v="471851"/>
    <n v="481051"/>
    <n v="511047"/>
    <n v="550636"/>
    <n v="2446985"/>
    <n v="27.3"/>
  </r>
  <r>
    <s v="10"/>
    <x v="9"/>
    <n v="486070"/>
    <n v="453724"/>
    <n v="426323"/>
    <n v="457798"/>
    <n v="548835"/>
    <n v="2372750"/>
    <n v="12.9"/>
  </r>
  <r>
    <s v="11"/>
    <x v="10"/>
    <n v="299238"/>
    <n v="337805"/>
    <n v="399908"/>
    <n v="420680"/>
    <n v="483911"/>
    <n v="1941542"/>
    <n v="61.7"/>
  </r>
  <r>
    <s v="12"/>
    <x v="11"/>
    <n v="272368"/>
    <n v="293384"/>
    <n v="311627"/>
    <n v="314651"/>
    <n v="332993"/>
    <n v="1525023"/>
    <n v="22.3"/>
  </r>
  <r>
    <s v="13"/>
    <x v="12"/>
    <n v="292027"/>
    <n v="316221"/>
    <n v="353401"/>
    <n v="349218"/>
    <n v="376200"/>
    <n v="1687067"/>
    <n v="28.8"/>
  </r>
  <r>
    <s v="14"/>
    <x v="13"/>
    <n v="232910"/>
    <n v="225618"/>
    <n v="251901"/>
    <n v="252984"/>
    <n v="251253"/>
    <n v="1214666"/>
    <n v="7.9"/>
  </r>
  <r>
    <s v="15"/>
    <x v="14"/>
    <n v="253453"/>
    <n v="297456"/>
    <n v="327282"/>
    <n v="323342"/>
    <n v="342759"/>
    <n v="1544292"/>
    <n v="35.200000000000003"/>
  </r>
  <r>
    <s v="16"/>
    <x v="15"/>
    <n v="225746"/>
    <n v="271492"/>
    <n v="296361"/>
    <n v="294585"/>
    <n v="297663"/>
    <n v="1385847"/>
    <n v="31.9"/>
  </r>
  <r>
    <s v="17"/>
    <x v="16"/>
    <n v="262267"/>
    <n v="292985"/>
    <n v="290288"/>
    <n v="323317"/>
    <n v="364486"/>
    <n v="1533343"/>
    <n v="39"/>
  </r>
  <r>
    <s v="18"/>
    <x v="17"/>
    <n v="225313"/>
    <n v="255445"/>
    <n v="289245"/>
    <n v="306861"/>
    <n v="313494"/>
    <n v="1390358"/>
    <n v="39.1"/>
  </r>
  <r>
    <s v="19"/>
    <x v="18"/>
    <n v="86972"/>
    <n v="136710"/>
    <n v="181692"/>
    <n v="208749"/>
    <n v="236115"/>
    <n v="850238"/>
    <n v="171.5"/>
  </r>
  <r>
    <s v="20"/>
    <x v="19"/>
    <n v="153544"/>
    <n v="173543"/>
    <n v="223692"/>
    <n v="253271"/>
    <n v="297964"/>
    <n v="1102014"/>
    <n v="94.1"/>
  </r>
  <r>
    <s v="21"/>
    <x v="20"/>
    <n v="0"/>
    <n v="53339"/>
    <n v="91243"/>
    <n v="95156"/>
    <n v="89224"/>
    <n v="328962"/>
    <n v="0"/>
  </r>
  <r>
    <s v="22"/>
    <x v="21"/>
    <n v="0"/>
    <n v="0"/>
    <n v="0"/>
    <n v="121768"/>
    <n v="137959"/>
    <n v="259727"/>
    <n v="0"/>
  </r>
  <r>
    <s v="23"/>
    <x v="22"/>
    <n v="0"/>
    <n v="0"/>
    <n v="0"/>
    <n v="165400"/>
    <n v="184485"/>
    <n v="349885"/>
    <n v="0"/>
  </r>
  <r>
    <s v="24"/>
    <x v="23"/>
    <n v="0"/>
    <n v="0"/>
    <n v="0"/>
    <n v="0"/>
    <n v="80838"/>
    <n v="80838"/>
    <n v="0"/>
  </r>
  <r>
    <s v="25"/>
    <x v="24"/>
    <n v="181787"/>
    <n v="240646"/>
    <n v="174300"/>
    <n v="195302"/>
    <n v="192701"/>
    <n v="984736"/>
    <n v="6"/>
  </r>
  <r>
    <s v="26"/>
    <x v="25"/>
    <n v="321547"/>
    <n v="332695"/>
    <n v="368973"/>
    <n v="362914"/>
    <n v="365005"/>
    <n v="1751134"/>
    <n v="13.5"/>
  </r>
  <r>
    <s v="27"/>
    <x v="26"/>
    <n v="191557"/>
    <n v="202092"/>
    <n v="225782"/>
    <n v="214249"/>
    <n v="210611"/>
    <n v="1044291"/>
    <n v="9.9"/>
  </r>
  <r>
    <s v="28"/>
    <x v="27"/>
    <n v="72371"/>
    <n v="65421"/>
    <n v="57881"/>
    <n v="61542"/>
    <n v="55130"/>
    <n v="312345"/>
    <n v="-23.8"/>
  </r>
  <r>
    <s v="29"/>
    <x v="28"/>
    <n v="416835"/>
    <n v="409035"/>
    <n v="390474"/>
    <n v="357970"/>
    <n v="319208"/>
    <n v="1893522"/>
    <n v="-23.4"/>
  </r>
  <r>
    <s v="30"/>
    <x v="29"/>
    <n v="190495"/>
    <n v="191995"/>
    <n v="257932"/>
    <n v="242941"/>
    <n v="256690"/>
    <n v="1140053"/>
    <n v="34.700000000000003"/>
  </r>
  <r>
    <s v="31"/>
    <x v="30"/>
    <n v="233452"/>
    <n v="239657"/>
    <n v="202129"/>
    <n v="204232"/>
    <n v="207637"/>
    <n v="1087107"/>
    <n v="-11.1"/>
  </r>
  <r>
    <s v="32"/>
    <x v="31"/>
    <n v="254813"/>
    <n v="232138"/>
    <n v="212892"/>
    <n v="194131"/>
    <n v="177620"/>
    <n v="1071594"/>
    <n v="-30.3"/>
  </r>
  <r>
    <s v="33"/>
    <x v="32"/>
    <n v="41547"/>
    <n v="38188"/>
    <n v="38515"/>
    <n v="35871"/>
    <n v="35769"/>
    <n v="189890"/>
    <n v="-13.9"/>
  </r>
  <r>
    <s v="34"/>
    <x v="33"/>
    <n v="17487"/>
    <n v="11896"/>
    <n v="11231"/>
    <n v="11196"/>
    <n v="15132"/>
    <n v="66942"/>
    <n v="-13.5"/>
  </r>
  <r>
    <s v="35"/>
    <x v="34"/>
    <n v="14852"/>
    <n v="10888"/>
    <n v="10748"/>
    <n v="9196"/>
    <n v="8679"/>
    <n v="54363"/>
    <n v="-41.6"/>
  </r>
  <r>
    <s v="36"/>
    <x v="35"/>
    <n v="0"/>
    <n v="0"/>
    <n v="22123"/>
    <n v="25720"/>
    <n v="24296"/>
    <n v="72139"/>
    <n v="0"/>
  </r>
  <r>
    <s v="37"/>
    <x v="36"/>
    <n v="17268"/>
    <n v="24289"/>
    <n v="23449"/>
    <n v="19238"/>
    <n v="14947"/>
    <n v="99191"/>
    <n v="-13.4"/>
  </r>
  <r>
    <s v="38"/>
    <x v="37"/>
    <n v="28247"/>
    <n v="26586"/>
    <n v="21552"/>
    <n v="13655"/>
    <n v="11705"/>
    <n v="101745"/>
    <n v="-58.6"/>
  </r>
  <r>
    <s v="39"/>
    <x v="38"/>
    <n v="80340"/>
    <n v="66611"/>
    <n v="57727"/>
    <n v="59358"/>
    <n v="56435"/>
    <n v="320471"/>
    <n v="-29.8"/>
  </r>
  <r>
    <s v="40"/>
    <x v="39"/>
    <n v="10936"/>
    <n v="9347"/>
    <n v="9496"/>
    <n v="9272"/>
    <n v="11396"/>
    <n v="50447"/>
    <n v="4.2"/>
  </r>
  <r>
    <s v="41"/>
    <x v="40"/>
    <n v="13643"/>
    <n v="15728"/>
    <n v="13644"/>
    <n v="10851"/>
    <n v="6284"/>
    <n v="60150"/>
    <n v="-53.9"/>
  </r>
  <r>
    <s v="42"/>
    <x v="41"/>
    <n v="49911"/>
    <n v="44829"/>
    <n v="42909"/>
    <n v="44193"/>
    <n v="47539"/>
    <n v="229381"/>
    <n v="-4.8"/>
  </r>
  <r>
    <s v="43"/>
    <x v="42"/>
    <n v="1826"/>
    <n v="5111"/>
    <n v="4996"/>
    <n v="4219"/>
    <n v="5168"/>
    <n v="21320"/>
    <n v="183"/>
  </r>
  <r>
    <s v="44"/>
    <x v="43"/>
    <n v="1041"/>
    <n v="1636"/>
    <n v="919"/>
    <n v="1062"/>
    <n v="843"/>
    <n v="5501"/>
    <n v="-19"/>
  </r>
  <r>
    <s v="45"/>
    <x v="44"/>
    <n v="1951"/>
    <n v="1831"/>
    <n v="1537"/>
    <n v="1412"/>
    <n v="1474"/>
    <n v="8205"/>
    <n v="-24.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">
  <r>
    <s v="1"/>
    <x v="0"/>
    <n v="45131"/>
    <n v="42803"/>
    <n v="37167"/>
    <n v="42883"/>
    <n v="46003"/>
    <n v="213987"/>
    <n v="1.9"/>
  </r>
  <r>
    <s v="2"/>
    <x v="1"/>
    <n v="48032"/>
    <n v="46597"/>
    <n v="55776"/>
    <n v="47384"/>
    <n v="57709"/>
    <n v="255498"/>
    <n v="20.100000000000001"/>
  </r>
  <r>
    <s v="3"/>
    <x v="2"/>
    <n v="21466"/>
    <n v="15748"/>
    <n v="16781"/>
    <n v="24973"/>
    <n v="29866"/>
    <n v="108834"/>
    <n v="39.1"/>
  </r>
  <r>
    <s v="4"/>
    <x v="3"/>
    <n v="25931"/>
    <n v="28997"/>
    <n v="42980"/>
    <n v="58118"/>
    <n v="62528"/>
    <n v="218554"/>
    <n v="141.1"/>
  </r>
  <r>
    <s v="5"/>
    <x v="4"/>
    <n v="12694"/>
    <n v="11575"/>
    <n v="12096"/>
    <n v="12827"/>
    <n v="12022"/>
    <n v="61214"/>
    <n v="-5.3"/>
  </r>
  <r>
    <s v="6"/>
    <x v="5"/>
    <n v="19828"/>
    <n v="20741"/>
    <n v="24006"/>
    <n v="23707"/>
    <n v="22909"/>
    <n v="111191"/>
    <n v="15.5"/>
  </r>
  <r>
    <s v="7"/>
    <x v="6"/>
    <n v="65667"/>
    <n v="65393"/>
    <n v="70621"/>
    <n v="61907"/>
    <n v="62135"/>
    <n v="325723"/>
    <n v="-5.4"/>
  </r>
  <r>
    <s v="8"/>
    <x v="7"/>
    <n v="23536"/>
    <n v="26509"/>
    <n v="40076"/>
    <n v="54265"/>
    <n v="65757"/>
    <n v="210143"/>
    <n v="179.4"/>
  </r>
  <r>
    <s v="9"/>
    <x v="8"/>
    <n v="19537"/>
    <n v="18516"/>
    <n v="18243"/>
    <n v="19148"/>
    <n v="21305"/>
    <n v="96749"/>
    <n v="9"/>
  </r>
  <r>
    <s v="10"/>
    <x v="9"/>
    <n v="45582"/>
    <n v="37664"/>
    <n v="31343"/>
    <n v="24970"/>
    <n v="32009"/>
    <n v="171568"/>
    <n v="-29.8"/>
  </r>
  <r>
    <s v="11"/>
    <x v="10"/>
    <n v="20721"/>
    <n v="21629"/>
    <n v="25971"/>
    <n v="29484"/>
    <n v="30148"/>
    <n v="127953"/>
    <n v="45.5"/>
  </r>
  <r>
    <s v="12"/>
    <x v="11"/>
    <n v="16317"/>
    <n v="20558"/>
    <n v="30557"/>
    <n v="33686"/>
    <n v="29240"/>
    <n v="130358"/>
    <n v="79.2"/>
  </r>
  <r>
    <s v="13"/>
    <x v="12"/>
    <n v="15665"/>
    <n v="16429"/>
    <n v="16103"/>
    <n v="16694"/>
    <n v="18146"/>
    <n v="83037"/>
    <n v="15.8"/>
  </r>
  <r>
    <s v="14"/>
    <x v="13"/>
    <n v="29808"/>
    <n v="40823"/>
    <n v="80242"/>
    <n v="82006"/>
    <n v="76023"/>
    <n v="308902"/>
    <n v="155"/>
  </r>
  <r>
    <s v="15"/>
    <x v="14"/>
    <n v="9127"/>
    <n v="9834"/>
    <n v="19855"/>
    <n v="27134"/>
    <n v="21821"/>
    <n v="87771"/>
    <n v="139.1"/>
  </r>
  <r>
    <s v="16"/>
    <x v="15"/>
    <n v="23541"/>
    <n v="59776"/>
    <n v="65659"/>
    <n v="65593"/>
    <n v="45904"/>
    <n v="260473"/>
    <n v="95"/>
  </r>
  <r>
    <s v="17"/>
    <x v="16"/>
    <n v="14566"/>
    <n v="17435"/>
    <n v="18604"/>
    <n v="22971"/>
    <n v="22785"/>
    <n v="96361"/>
    <n v="56.4"/>
  </r>
  <r>
    <s v="18"/>
    <x v="17"/>
    <n v="6069"/>
    <n v="7640"/>
    <n v="12496"/>
    <n v="20670"/>
    <n v="21543"/>
    <n v="68418"/>
    <n v="255"/>
  </r>
  <r>
    <s v="19"/>
    <x v="18"/>
    <n v="4231"/>
    <n v="8310"/>
    <n v="13528"/>
    <n v="11632"/>
    <n v="13842"/>
    <n v="51543"/>
    <n v="227.2"/>
  </r>
  <r>
    <s v="20"/>
    <x v="19"/>
    <n v="9167"/>
    <n v="24887"/>
    <n v="15194"/>
    <n v="17093"/>
    <n v="18802"/>
    <n v="85143"/>
    <n v="105.1"/>
  </r>
  <r>
    <s v="21"/>
    <x v="20"/>
    <n v="0"/>
    <n v="2492"/>
    <n v="5117"/>
    <n v="5661"/>
    <n v="5800"/>
    <n v="19070"/>
    <n v="0"/>
  </r>
  <r>
    <s v="22"/>
    <x v="21"/>
    <n v="0"/>
    <n v="0"/>
    <n v="0"/>
    <n v="10867"/>
    <n v="12192"/>
    <n v="23059"/>
    <n v="0"/>
  </r>
  <r>
    <s v="23"/>
    <x v="22"/>
    <n v="0"/>
    <n v="0"/>
    <n v="0"/>
    <n v="8241"/>
    <n v="8713"/>
    <n v="16954"/>
    <n v="0"/>
  </r>
  <r>
    <s v="24"/>
    <x v="23"/>
    <n v="0"/>
    <n v="0"/>
    <n v="0"/>
    <n v="0"/>
    <n v="4012"/>
    <n v="4012"/>
    <n v="0"/>
  </r>
  <r>
    <s v="25"/>
    <x v="24"/>
    <n v="22946"/>
    <n v="23341"/>
    <n v="23500"/>
    <n v="23787"/>
    <n v="23987"/>
    <n v="117561"/>
    <n v="4.5"/>
  </r>
  <r>
    <s v="26"/>
    <x v="25"/>
    <n v="21017"/>
    <n v="20889"/>
    <n v="22428"/>
    <n v="23373"/>
    <n v="22907"/>
    <n v="110614"/>
    <n v="9"/>
  </r>
  <r>
    <s v="27"/>
    <x v="26"/>
    <n v="15259"/>
    <n v="17032"/>
    <n v="16611"/>
    <n v="14980"/>
    <n v="12918"/>
    <n v="76800"/>
    <n v="-15.3"/>
  </r>
  <r>
    <s v="28"/>
    <x v="27"/>
    <n v="25389"/>
    <n v="25208"/>
    <n v="23526"/>
    <n v="31046"/>
    <n v="35539"/>
    <n v="140708"/>
    <n v="40"/>
  </r>
  <r>
    <s v="29"/>
    <x v="28"/>
    <n v="14177"/>
    <n v="14016"/>
    <n v="16311"/>
    <n v="19897"/>
    <n v="20628"/>
    <n v="85029"/>
    <n v="45.5"/>
  </r>
  <r>
    <s v="30"/>
    <x v="29"/>
    <n v="11284"/>
    <n v="9836"/>
    <n v="8474"/>
    <n v="8171"/>
    <n v="8016"/>
    <n v="45781"/>
    <n v="-29"/>
  </r>
  <r>
    <s v="31"/>
    <x v="30"/>
    <n v="3717"/>
    <n v="4044"/>
    <n v="3421"/>
    <n v="3960"/>
    <n v="3799"/>
    <n v="18941"/>
    <n v="2.2000000000000002"/>
  </r>
  <r>
    <s v="32"/>
    <x v="31"/>
    <n v="365"/>
    <n v="365"/>
    <n v="523"/>
    <n v="461"/>
    <n v="741"/>
    <n v="2455"/>
    <n v="103"/>
  </r>
  <r>
    <s v="33"/>
    <x v="32"/>
    <n v="464"/>
    <n v="505"/>
    <n v="531"/>
    <n v="385"/>
    <n v="485"/>
    <n v="2370"/>
    <n v="4.5"/>
  </r>
  <r>
    <s v="34"/>
    <x v="33"/>
    <n v="111"/>
    <n v="93"/>
    <n v="155"/>
    <n v="106"/>
    <n v="104"/>
    <n v="569"/>
    <n v="-6.3"/>
  </r>
  <r>
    <s v="35"/>
    <x v="34"/>
    <n v="0"/>
    <n v="0"/>
    <n v="4786"/>
    <n v="8213"/>
    <n v="8506"/>
    <n v="21505"/>
    <n v="0"/>
  </r>
  <r>
    <s v="36"/>
    <x v="35"/>
    <n v="212"/>
    <n v="389"/>
    <n v="255"/>
    <n v="400"/>
    <n v="350"/>
    <n v="1606"/>
    <n v="65.099999999999994"/>
  </r>
  <r>
    <s v="37"/>
    <x v="36"/>
    <n v="651"/>
    <n v="180"/>
    <n v="79"/>
    <n v="100"/>
    <n v="105"/>
    <n v="1115"/>
    <n v="-83.9"/>
  </r>
  <r>
    <s v="38"/>
    <x v="37"/>
    <n v="85988"/>
    <n v="81456"/>
    <n v="80368"/>
    <n v="77298"/>
    <n v="75756"/>
    <n v="400866"/>
    <n v="-11.9"/>
  </r>
  <r>
    <s v="39"/>
    <x v="38"/>
    <n v="2071"/>
    <n v="2011"/>
    <n v="1799"/>
    <n v="2455"/>
    <n v="1908"/>
    <n v="10244"/>
    <n v="-7.9"/>
  </r>
  <r>
    <s v="40"/>
    <x v="39"/>
    <n v="144"/>
    <n v="220"/>
    <n v="171"/>
    <n v="126"/>
    <n v="82"/>
    <n v="743"/>
    <n v="-43.1"/>
  </r>
  <r>
    <s v="41"/>
    <x v="40"/>
    <n v="1088"/>
    <n v="625"/>
    <n v="0"/>
    <n v="0"/>
    <n v="0"/>
    <n v="1713"/>
    <n v="-10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s v="1"/>
    <x v="0"/>
    <n v="3283797"/>
    <n v="3803846"/>
    <n v="4531234"/>
    <n v="5615130"/>
    <n v="5362078"/>
    <n v="22596085"/>
    <n v="63.3"/>
  </r>
  <r>
    <s v="2"/>
    <x v="1"/>
    <n v="1697574"/>
    <n v="1350877"/>
    <n v="1735514"/>
    <n v="2317852"/>
    <n v="3210155"/>
    <n v="10311972"/>
    <n v="89.1"/>
  </r>
  <r>
    <s v="3"/>
    <x v="2"/>
    <n v="1084389"/>
    <n v="1199118"/>
    <n v="1355341"/>
    <n v="1476962"/>
    <n v="1935214"/>
    <n v="7051024"/>
    <n v="78.5"/>
  </r>
  <r>
    <s v="4"/>
    <x v="3"/>
    <n v="922603"/>
    <n v="987292"/>
    <n v="1078502"/>
    <n v="1123456"/>
    <n v="1962993"/>
    <n v="6074846"/>
    <n v="112.8"/>
  </r>
  <r>
    <s v="5"/>
    <x v="4"/>
    <n v="508822"/>
    <n v="647848"/>
    <n v="856238"/>
    <n v="978356"/>
    <n v="1146935"/>
    <n v="4138199"/>
    <n v="125.4"/>
  </r>
  <r>
    <s v="6"/>
    <x v="5"/>
    <n v="295889"/>
    <n v="318198"/>
    <n v="347623"/>
    <n v="329757"/>
    <n v="351216"/>
    <n v="1642683"/>
    <n v="18.7"/>
  </r>
  <r>
    <s v="7"/>
    <x v="6"/>
    <n v="1477386"/>
    <n v="1615552"/>
    <n v="1972528"/>
    <n v="1898821"/>
    <n v="1778901"/>
    <n v="8743188"/>
    <n v="20.399999999999999"/>
  </r>
  <r>
    <s v="8"/>
    <x v="7"/>
    <n v="1779635"/>
    <n v="2019443"/>
    <n v="2683600"/>
    <n v="2743939"/>
    <n v="3046899"/>
    <n v="12273516"/>
    <n v="71.2"/>
  </r>
  <r>
    <s v="9"/>
    <x v="8"/>
    <n v="2646491"/>
    <n v="2761568"/>
    <n v="3195097"/>
    <n v="3004802"/>
    <n v="3811150"/>
    <n v="15419108"/>
    <n v="44"/>
  </r>
  <r>
    <s v="10"/>
    <x v="9"/>
    <n v="1267311"/>
    <n v="1752321"/>
    <n v="1937232"/>
    <n v="1902324"/>
    <n v="2947782"/>
    <n v="9806970"/>
    <n v="132.6"/>
  </r>
  <r>
    <s v="11"/>
    <x v="10"/>
    <n v="1086930"/>
    <n v="1160146"/>
    <n v="1339903"/>
    <n v="1311003"/>
    <n v="1839285"/>
    <n v="6737267"/>
    <n v="69.2"/>
  </r>
  <r>
    <s v="12"/>
    <x v="11"/>
    <n v="539820"/>
    <n v="583352"/>
    <n v="652275"/>
    <n v="709883"/>
    <n v="1004567"/>
    <n v="3489897"/>
    <n v="86.1"/>
  </r>
  <r>
    <s v="13"/>
    <x v="12"/>
    <n v="723756"/>
    <n v="794257"/>
    <n v="739844"/>
    <n v="679720"/>
    <n v="826862"/>
    <n v="3764439"/>
    <n v="14.2"/>
  </r>
  <r>
    <s v="14"/>
    <x v="13"/>
    <n v="1054977"/>
    <n v="1110289"/>
    <n v="1164674"/>
    <n v="1058069"/>
    <n v="1238950"/>
    <n v="5626959"/>
    <n v="17.399999999999999"/>
  </r>
  <r>
    <s v="15"/>
    <x v="14"/>
    <n v="796356"/>
    <n v="1107086"/>
    <n v="1215610"/>
    <n v="975240"/>
    <n v="939809"/>
    <n v="5034101"/>
    <n v="18"/>
  </r>
  <r>
    <s v="16"/>
    <x v="15"/>
    <n v="1247081"/>
    <n v="1337982"/>
    <n v="1304025"/>
    <n v="1413257"/>
    <n v="1891454"/>
    <n v="7193799"/>
    <n v="51.7"/>
  </r>
  <r>
    <s v="17"/>
    <x v="16"/>
    <n v="576964"/>
    <n v="771437"/>
    <n v="1097261"/>
    <n v="1349010"/>
    <n v="2274042"/>
    <n v="6068714"/>
    <n v="294.10000000000002"/>
  </r>
  <r>
    <s v="18"/>
    <x v="17"/>
    <n v="450390"/>
    <n v="651583"/>
    <n v="858774"/>
    <n v="934077"/>
    <n v="1237200"/>
    <n v="4132024"/>
    <n v="174.7"/>
  </r>
  <r>
    <s v="19"/>
    <x v="18"/>
    <n v="375044"/>
    <n v="589851"/>
    <n v="735161"/>
    <n v="1231003"/>
    <n v="1673906"/>
    <n v="4604965"/>
    <n v="346.3"/>
  </r>
  <r>
    <s v="20"/>
    <x v="19"/>
    <n v="306060"/>
    <n v="399063"/>
    <n v="563098"/>
    <n v="1026042"/>
    <n v="1668606"/>
    <n v="3962869"/>
    <n v="445.2"/>
  </r>
  <r>
    <s v="21"/>
    <x v="20"/>
    <n v="0"/>
    <n v="229165"/>
    <n v="409907"/>
    <n v="505061"/>
    <n v="598381"/>
    <n v="1742514"/>
    <n v="0"/>
  </r>
  <r>
    <s v="22"/>
    <x v="21"/>
    <n v="0"/>
    <n v="0"/>
    <n v="0"/>
    <n v="471358"/>
    <n v="641041"/>
    <n v="1112399"/>
    <n v="0"/>
  </r>
  <r>
    <s v="23"/>
    <x v="22"/>
    <n v="0"/>
    <n v="0"/>
    <n v="0"/>
    <n v="252483"/>
    <n v="519202"/>
    <n v="771685"/>
    <n v="0"/>
  </r>
  <r>
    <s v="24"/>
    <x v="23"/>
    <n v="0"/>
    <n v="0"/>
    <n v="0"/>
    <n v="0"/>
    <n v="448640"/>
    <n v="448640"/>
    <n v="0"/>
  </r>
  <r>
    <s v="25"/>
    <x v="24"/>
    <n v="519081"/>
    <n v="369190"/>
    <n v="555260"/>
    <n v="661551"/>
    <n v="948997"/>
    <n v="3054079"/>
    <n v="82.8"/>
  </r>
  <r>
    <s v="26"/>
    <x v="25"/>
    <n v="461944"/>
    <n v="374070"/>
    <n v="514225"/>
    <n v="550202"/>
    <n v="653634"/>
    <n v="2554075"/>
    <n v="41.5"/>
  </r>
  <r>
    <s v="27"/>
    <x v="26"/>
    <n v="922214"/>
    <n v="967062"/>
    <n v="1475313"/>
    <n v="1751464"/>
    <n v="1961038"/>
    <n v="7077091"/>
    <n v="112.6"/>
  </r>
  <r>
    <s v="28"/>
    <x v="27"/>
    <n v="61089"/>
    <n v="66912"/>
    <n v="70019"/>
    <n v="74246"/>
    <n v="78821"/>
    <n v="351087"/>
    <n v="29"/>
  </r>
  <r>
    <s v="29"/>
    <x v="28"/>
    <n v="116112"/>
    <n v="97688"/>
    <n v="121696"/>
    <n v="91155"/>
    <n v="81813"/>
    <n v="508464"/>
    <n v="-29.5"/>
  </r>
  <r>
    <s v="30"/>
    <x v="29"/>
    <n v="740763"/>
    <n v="691297"/>
    <n v="824962"/>
    <n v="827228"/>
    <n v="1128467"/>
    <n v="4212717"/>
    <n v="52.3"/>
  </r>
  <r>
    <s v="31"/>
    <x v="30"/>
    <n v="162496"/>
    <n v="235001"/>
    <n v="266294"/>
    <n v="294384"/>
    <n v="340218"/>
    <n v="1298393"/>
    <n v="109.4"/>
  </r>
  <r>
    <s v="32"/>
    <x v="31"/>
    <n v="564154"/>
    <n v="620507"/>
    <n v="667333"/>
    <n v="632685"/>
    <n v="672729"/>
    <n v="3157408"/>
    <n v="19.2"/>
  </r>
  <r>
    <s v="33"/>
    <x v="32"/>
    <n v="54147"/>
    <n v="55977"/>
    <n v="53673"/>
    <n v="52341"/>
    <n v="56635"/>
    <n v="272773"/>
    <n v="4.5999999999999996"/>
  </r>
  <r>
    <s v="34"/>
    <x v="33"/>
    <n v="87959"/>
    <n v="130432"/>
    <n v="121150"/>
    <n v="136079"/>
    <n v="131386"/>
    <n v="607006"/>
    <n v="49.4"/>
  </r>
  <r>
    <s v="35"/>
    <x v="34"/>
    <n v="318299"/>
    <n v="424550"/>
    <n v="408792"/>
    <n v="395834"/>
    <n v="439519"/>
    <n v="1986994"/>
    <n v="38.1"/>
  </r>
  <r>
    <s v="36"/>
    <x v="35"/>
    <n v="39957"/>
    <n v="47791"/>
    <n v="57026"/>
    <n v="50818"/>
    <n v="79317"/>
    <n v="274909"/>
    <n v="98.5"/>
  </r>
  <r>
    <s v="37"/>
    <x v="36"/>
    <n v="0"/>
    <n v="0"/>
    <n v="89671"/>
    <n v="101307"/>
    <n v="144671"/>
    <n v="335649"/>
    <n v="0"/>
  </r>
  <r>
    <s v="38"/>
    <x v="37"/>
    <n v="77425"/>
    <n v="70425"/>
    <n v="71004"/>
    <n v="95554"/>
    <n v="106765"/>
    <n v="421173"/>
    <n v="37.9"/>
  </r>
  <r>
    <s v="39"/>
    <x v="38"/>
    <n v="2560"/>
    <n v="1152"/>
    <n v="1198"/>
    <n v="1168"/>
    <n v="1296"/>
    <n v="7374"/>
    <n v="-49.4"/>
  </r>
  <r>
    <s v="40"/>
    <x v="39"/>
    <n v="39292"/>
    <n v="56434"/>
    <n v="57597"/>
    <n v="61908"/>
    <n v="60010"/>
    <n v="275241"/>
    <n v="52.7"/>
  </r>
  <r>
    <s v="41"/>
    <x v="40"/>
    <n v="3128"/>
    <n v="4027"/>
    <n v="5167"/>
    <n v="5752"/>
    <n v="5634"/>
    <n v="23708"/>
    <n v="80.099999999999994"/>
  </r>
  <r>
    <s v="42"/>
    <x v="41"/>
    <n v="97141"/>
    <n v="95466"/>
    <n v="111990"/>
    <n v="141404"/>
    <n v="147069"/>
    <n v="593070"/>
    <n v="51.4"/>
  </r>
  <r>
    <s v="43"/>
    <x v="42"/>
    <n v="7332"/>
    <n v="7219"/>
    <n v="7440"/>
    <n v="7065"/>
    <n v="7500"/>
    <n v="36556"/>
    <n v="2.2999999999999998"/>
  </r>
  <r>
    <s v="44"/>
    <x v="43"/>
    <n v="21272"/>
    <n v="22040"/>
    <n v="20403"/>
    <n v="13072"/>
    <n v="12018"/>
    <n v="88805"/>
    <n v="-43.5"/>
  </r>
  <r>
    <s v="45"/>
    <x v="44"/>
    <n v="21645"/>
    <n v="18560"/>
    <n v="9922"/>
    <n v="15997"/>
    <n v="13585"/>
    <n v="79709"/>
    <n v="-37.200000000000003"/>
  </r>
  <r>
    <s v="46"/>
    <x v="45"/>
    <n v="0"/>
    <n v="130"/>
    <n v="43"/>
    <n v="273"/>
    <n v="230"/>
    <n v="676"/>
    <n v="0"/>
  </r>
  <r>
    <s v="47"/>
    <x v="46"/>
    <n v="9080"/>
    <n v="10397"/>
    <n v="8649"/>
    <n v="6614"/>
    <n v="4970"/>
    <n v="39710"/>
    <n v="-45.3"/>
  </r>
  <r>
    <s v="48"/>
    <x v="47"/>
    <n v="830"/>
    <n v="0"/>
    <n v="0"/>
    <n v="0"/>
    <n v="68"/>
    <n v="898"/>
    <n v="-91.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7134DE-9D25-4272-B61B-9FAAC68B506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3:C63" firstHeaderRow="0" firstDataRow="1" firstDataCol="1"/>
  <pivotFields count="9">
    <pivotField showAll="0"/>
    <pivotField axis="axisRow" showAll="0" sortType="descending">
      <items count="60">
        <item x="41"/>
        <item x="40"/>
        <item x="3"/>
        <item x="57"/>
        <item x="46"/>
        <item x="7"/>
        <item x="42"/>
        <item x="15"/>
        <item x="58"/>
        <item x="31"/>
        <item x="2"/>
        <item x="23"/>
        <item x="56"/>
        <item x="1"/>
        <item x="39"/>
        <item x="48"/>
        <item x="52"/>
        <item x="44"/>
        <item x="38"/>
        <item x="9"/>
        <item x="34"/>
        <item x="35"/>
        <item x="37"/>
        <item x="36"/>
        <item x="30"/>
        <item x="5"/>
        <item x="6"/>
        <item x="43"/>
        <item x="18"/>
        <item x="19"/>
        <item x="32"/>
        <item x="53"/>
        <item x="26"/>
        <item x="25"/>
        <item x="45"/>
        <item x="29"/>
        <item x="28"/>
        <item x="24"/>
        <item x="33"/>
        <item x="21"/>
        <item x="13"/>
        <item x="10"/>
        <item x="50"/>
        <item x="54"/>
        <item x="20"/>
        <item x="47"/>
        <item x="22"/>
        <item x="49"/>
        <item x="0"/>
        <item x="27"/>
        <item x="51"/>
        <item x="4"/>
        <item x="14"/>
        <item x="17"/>
        <item x="11"/>
        <item x="8"/>
        <item x="55"/>
        <item x="12"/>
        <item x="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1"/>
  </rowFields>
  <rowItems count="60">
    <i>
      <x v="48"/>
    </i>
    <i>
      <x v="26"/>
    </i>
    <i>
      <x v="13"/>
    </i>
    <i>
      <x v="5"/>
    </i>
    <i>
      <x v="19"/>
    </i>
    <i>
      <x v="55"/>
    </i>
    <i>
      <x v="2"/>
    </i>
    <i>
      <x v="41"/>
    </i>
    <i>
      <x v="51"/>
    </i>
    <i>
      <x v="10"/>
    </i>
    <i>
      <x v="37"/>
    </i>
    <i>
      <x v="29"/>
    </i>
    <i>
      <x v="40"/>
    </i>
    <i>
      <x v="7"/>
    </i>
    <i>
      <x v="58"/>
    </i>
    <i>
      <x v="57"/>
    </i>
    <i>
      <x v="52"/>
    </i>
    <i>
      <x v="32"/>
    </i>
    <i>
      <x v="54"/>
    </i>
    <i>
      <x v="25"/>
    </i>
    <i>
      <x v="39"/>
    </i>
    <i>
      <x v="28"/>
    </i>
    <i>
      <x v="53"/>
    </i>
    <i>
      <x v="21"/>
    </i>
    <i>
      <x v="35"/>
    </i>
    <i>
      <x v="22"/>
    </i>
    <i>
      <x v="20"/>
    </i>
    <i>
      <x v="14"/>
    </i>
    <i>
      <x v="49"/>
    </i>
    <i>
      <x v="46"/>
    </i>
    <i>
      <x v="23"/>
    </i>
    <i>
      <x v="38"/>
    </i>
    <i>
      <x v="9"/>
    </i>
    <i>
      <x v="17"/>
    </i>
    <i>
      <x v="33"/>
    </i>
    <i>
      <x v="36"/>
    </i>
    <i>
      <x v="45"/>
    </i>
    <i>
      <x v="44"/>
    </i>
    <i>
      <x v="24"/>
    </i>
    <i>
      <x v="18"/>
    </i>
    <i>
      <x v="30"/>
    </i>
    <i>
      <x v="11"/>
    </i>
    <i>
      <x v="50"/>
    </i>
    <i>
      <x v="27"/>
    </i>
    <i>
      <x/>
    </i>
    <i>
      <x v="15"/>
    </i>
    <i>
      <x v="3"/>
    </i>
    <i>
      <x v="6"/>
    </i>
    <i>
      <x v="16"/>
    </i>
    <i>
      <x v="1"/>
    </i>
    <i>
      <x v="12"/>
    </i>
    <i>
      <x v="56"/>
    </i>
    <i>
      <x v="47"/>
    </i>
    <i>
      <x v="42"/>
    </i>
    <i>
      <x v="8"/>
    </i>
    <i>
      <x v="43"/>
    </i>
    <i>
      <x v="31"/>
    </i>
    <i>
      <x v="34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" fld="7" baseField="0" baseItem="0"/>
    <dataField name="Average of Growth%" fld="8" subtotal="average" baseField="1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9B0858-7E6E-482D-BD19-72A3F225ECBB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C49" firstHeaderRow="0" firstDataRow="1" firstDataCol="1"/>
  <pivotFields count="9">
    <pivotField showAll="0"/>
    <pivotField axis="axisRow" showAll="0" sortType="descending">
      <items count="46">
        <item x="38"/>
        <item x="3"/>
        <item x="43"/>
        <item x="7"/>
        <item x="15"/>
        <item x="31"/>
        <item x="2"/>
        <item x="23"/>
        <item x="1"/>
        <item x="41"/>
        <item x="40"/>
        <item x="37"/>
        <item x="9"/>
        <item x="33"/>
        <item x="34"/>
        <item x="35"/>
        <item x="36"/>
        <item x="30"/>
        <item x="5"/>
        <item x="6"/>
        <item x="39"/>
        <item x="18"/>
        <item x="19"/>
        <item x="32"/>
        <item x="26"/>
        <item x="25"/>
        <item x="42"/>
        <item x="24"/>
        <item x="28"/>
        <item x="29"/>
        <item x="21"/>
        <item x="13"/>
        <item x="10"/>
        <item x="20"/>
        <item x="44"/>
        <item x="22"/>
        <item x="0"/>
        <item x="27"/>
        <item x="4"/>
        <item x="14"/>
        <item x="17"/>
        <item x="11"/>
        <item x="8"/>
        <item x="12"/>
        <item x="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1"/>
  </rowFields>
  <rowItems count="46">
    <i>
      <x v="36"/>
    </i>
    <i>
      <x v="19"/>
    </i>
    <i>
      <x v="42"/>
    </i>
    <i>
      <x v="3"/>
    </i>
    <i>
      <x v="8"/>
    </i>
    <i>
      <x v="12"/>
    </i>
    <i>
      <x v="38"/>
    </i>
    <i>
      <x v="32"/>
    </i>
    <i>
      <x v="28"/>
    </i>
    <i>
      <x v="25"/>
    </i>
    <i>
      <x v="43"/>
    </i>
    <i>
      <x v="39"/>
    </i>
    <i>
      <x v="44"/>
    </i>
    <i>
      <x v="41"/>
    </i>
    <i>
      <x v="6"/>
    </i>
    <i>
      <x v="18"/>
    </i>
    <i>
      <x v="40"/>
    </i>
    <i>
      <x v="4"/>
    </i>
    <i>
      <x v="1"/>
    </i>
    <i>
      <x v="31"/>
    </i>
    <i>
      <x v="29"/>
    </i>
    <i>
      <x v="22"/>
    </i>
    <i>
      <x v="17"/>
    </i>
    <i>
      <x v="5"/>
    </i>
    <i>
      <x v="24"/>
    </i>
    <i>
      <x v="27"/>
    </i>
    <i>
      <x v="21"/>
    </i>
    <i>
      <x v="35"/>
    </i>
    <i>
      <x v="33"/>
    </i>
    <i>
      <x/>
    </i>
    <i>
      <x v="37"/>
    </i>
    <i>
      <x v="30"/>
    </i>
    <i>
      <x v="9"/>
    </i>
    <i>
      <x v="23"/>
    </i>
    <i>
      <x v="11"/>
    </i>
    <i>
      <x v="16"/>
    </i>
    <i>
      <x v="7"/>
    </i>
    <i>
      <x v="15"/>
    </i>
    <i>
      <x v="13"/>
    </i>
    <i>
      <x v="10"/>
    </i>
    <i>
      <x v="14"/>
    </i>
    <i>
      <x v="20"/>
    </i>
    <i>
      <x v="26"/>
    </i>
    <i>
      <x v="34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" fld="7" baseField="0" baseItem="0"/>
    <dataField name="Average of Growth%" fld="8" subtotal="average" baseField="1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33750E-477F-40A1-99DD-102E707F6351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C45" firstHeaderRow="0" firstDataRow="1" firstDataCol="1"/>
  <pivotFields count="9">
    <pivotField showAll="0"/>
    <pivotField axis="axisRow" showAll="0" sortType="descending">
      <items count="42">
        <item x="38"/>
        <item x="3"/>
        <item x="7"/>
        <item x="15"/>
        <item x="23"/>
        <item x="39"/>
        <item x="37"/>
        <item x="36"/>
        <item x="28"/>
        <item x="9"/>
        <item x="32"/>
        <item x="33"/>
        <item x="34"/>
        <item x="35"/>
        <item x="5"/>
        <item x="6"/>
        <item x="24"/>
        <item x="29"/>
        <item x="18"/>
        <item x="1"/>
        <item x="19"/>
        <item x="31"/>
        <item x="30"/>
        <item x="26"/>
        <item x="25"/>
        <item x="21"/>
        <item x="2"/>
        <item x="13"/>
        <item x="10"/>
        <item x="40"/>
        <item x="22"/>
        <item x="0"/>
        <item x="27"/>
        <item x="4"/>
        <item x="14"/>
        <item x="17"/>
        <item x="11"/>
        <item x="8"/>
        <item x="20"/>
        <item x="12"/>
        <item x="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1"/>
  </rowFields>
  <rowItems count="42">
    <i>
      <x v="6"/>
    </i>
    <i>
      <x v="15"/>
    </i>
    <i>
      <x v="27"/>
    </i>
    <i>
      <x v="3"/>
    </i>
    <i>
      <x v="19"/>
    </i>
    <i>
      <x v="1"/>
    </i>
    <i>
      <x v="31"/>
    </i>
    <i>
      <x v="2"/>
    </i>
    <i>
      <x v="9"/>
    </i>
    <i>
      <x v="32"/>
    </i>
    <i>
      <x v="36"/>
    </i>
    <i>
      <x v="28"/>
    </i>
    <i>
      <x v="16"/>
    </i>
    <i>
      <x v="14"/>
    </i>
    <i>
      <x v="24"/>
    </i>
    <i>
      <x v="26"/>
    </i>
    <i>
      <x v="37"/>
    </i>
    <i>
      <x v="40"/>
    </i>
    <i>
      <x v="34"/>
    </i>
    <i>
      <x v="20"/>
    </i>
    <i>
      <x v="8"/>
    </i>
    <i>
      <x v="39"/>
    </i>
    <i>
      <x v="23"/>
    </i>
    <i>
      <x v="35"/>
    </i>
    <i>
      <x v="33"/>
    </i>
    <i>
      <x v="18"/>
    </i>
    <i>
      <x v="17"/>
    </i>
    <i>
      <x v="25"/>
    </i>
    <i>
      <x v="12"/>
    </i>
    <i>
      <x v="38"/>
    </i>
    <i>
      <x v="22"/>
    </i>
    <i>
      <x v="30"/>
    </i>
    <i>
      <x/>
    </i>
    <i>
      <x v="4"/>
    </i>
    <i>
      <x v="21"/>
    </i>
    <i>
      <x v="10"/>
    </i>
    <i>
      <x v="29"/>
    </i>
    <i>
      <x v="13"/>
    </i>
    <i>
      <x v="7"/>
    </i>
    <i>
      <x v="5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" fld="7" baseField="0" baseItem="0"/>
    <dataField name="Average of Growth%" fld="8" subtotal="average" baseField="1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0364FA-E484-4D63-BCB3-1B64348E40D5}" name="PivotTable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C52" firstHeaderRow="0" firstDataRow="1" firstDataCol="1"/>
  <pivotFields count="9">
    <pivotField showAll="0"/>
    <pivotField axis="axisRow" showAll="0" sortType="descending">
      <items count="49">
        <item x="41"/>
        <item x="40"/>
        <item x="3"/>
        <item x="7"/>
        <item x="15"/>
        <item x="23"/>
        <item x="34"/>
        <item x="1"/>
        <item x="39"/>
        <item x="47"/>
        <item x="31"/>
        <item x="43"/>
        <item x="38"/>
        <item x="9"/>
        <item x="27"/>
        <item x="36"/>
        <item x="35"/>
        <item x="37"/>
        <item x="30"/>
        <item x="5"/>
        <item x="6"/>
        <item x="42"/>
        <item x="19"/>
        <item x="32"/>
        <item x="44"/>
        <item x="26"/>
        <item x="25"/>
        <item x="45"/>
        <item x="28"/>
        <item x="24"/>
        <item x="29"/>
        <item x="33"/>
        <item x="21"/>
        <item x="2"/>
        <item x="13"/>
        <item x="10"/>
        <item x="46"/>
        <item x="22"/>
        <item x="0"/>
        <item x="18"/>
        <item x="20"/>
        <item x="4"/>
        <item x="14"/>
        <item x="17"/>
        <item x="11"/>
        <item x="8"/>
        <item x="12"/>
        <item x="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1"/>
  </rowFields>
  <rowItems count="49">
    <i>
      <x v="38"/>
    </i>
    <i>
      <x v="45"/>
    </i>
    <i>
      <x v="3"/>
    </i>
    <i>
      <x v="7"/>
    </i>
    <i>
      <x v="13"/>
    </i>
    <i>
      <x v="20"/>
    </i>
    <i>
      <x v="4"/>
    </i>
    <i>
      <x v="25"/>
    </i>
    <i>
      <x v="33"/>
    </i>
    <i>
      <x v="35"/>
    </i>
    <i>
      <x v="2"/>
    </i>
    <i>
      <x v="47"/>
    </i>
    <i>
      <x v="34"/>
    </i>
    <i>
      <x v="42"/>
    </i>
    <i>
      <x v="39"/>
    </i>
    <i>
      <x v="30"/>
    </i>
    <i>
      <x v="41"/>
    </i>
    <i>
      <x v="43"/>
    </i>
    <i>
      <x v="22"/>
    </i>
    <i>
      <x v="46"/>
    </i>
    <i>
      <x v="44"/>
    </i>
    <i>
      <x v="10"/>
    </i>
    <i>
      <x v="29"/>
    </i>
    <i>
      <x v="26"/>
    </i>
    <i>
      <x v="6"/>
    </i>
    <i>
      <x v="40"/>
    </i>
    <i>
      <x v="19"/>
    </i>
    <i>
      <x v="18"/>
    </i>
    <i>
      <x v="32"/>
    </i>
    <i>
      <x v="37"/>
    </i>
    <i>
      <x v="31"/>
    </i>
    <i>
      <x/>
    </i>
    <i>
      <x v="28"/>
    </i>
    <i>
      <x v="5"/>
    </i>
    <i>
      <x v="17"/>
    </i>
    <i>
      <x v="14"/>
    </i>
    <i>
      <x v="15"/>
    </i>
    <i>
      <x v="8"/>
    </i>
    <i>
      <x v="16"/>
    </i>
    <i>
      <x v="23"/>
    </i>
    <i>
      <x v="11"/>
    </i>
    <i>
      <x v="24"/>
    </i>
    <i>
      <x v="36"/>
    </i>
    <i>
      <x v="21"/>
    </i>
    <i>
      <x v="1"/>
    </i>
    <i>
      <x v="12"/>
    </i>
    <i>
      <x v="9"/>
    </i>
    <i>
      <x v="2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" fld="7" baseField="0" baseItem="0"/>
    <dataField name="Average of Growth%" fld="8" subtotal="average" baseField="1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CB7B1B-4FF9-4E58-9A56-D52C17A1A30B}" name="Table1" displayName="Table1" ref="A1:I60" totalsRowShown="0" headerRowDxfId="11" headerRowBorderDxfId="10" tableBorderDxfId="9">
  <autoFilter ref="A1:I60" xr:uid="{24CB7B1B-4FF9-4E58-9A56-D52C17A1A30B}"/>
  <tableColumns count="9">
    <tableColumn id="1" xr3:uid="{CCF4EFDC-EFB6-4CE1-90BF-06201869BA49}" name="S. No"/>
    <tableColumn id="2" xr3:uid="{C0B60A68-878D-405E-879F-98341D77B96F}" name="Institution_Name"/>
    <tableColumn id="3" xr3:uid="{9AE091CF-8B05-4642-9365-B94E750E9FB9}" name="2013"/>
    <tableColumn id="4" xr3:uid="{D8F8E127-82C2-48ED-BCB9-83F3BD81536E}" name="2014"/>
    <tableColumn id="5" xr3:uid="{AEB59A06-2300-426A-B6FF-49A5573EA140}" name="2015"/>
    <tableColumn id="6" xr3:uid="{35418794-B70D-4B6A-9CE8-3884CC9142EE}" name="2016"/>
    <tableColumn id="7" xr3:uid="{CDABE643-D9F4-43B1-A436-3EF2D10B456F}" name="2017"/>
    <tableColumn id="8" xr3:uid="{FB460813-08DE-4DEB-B583-3B2AEF1554FD}" name="Total"/>
    <tableColumn id="9" xr3:uid="{15BAB6C8-B0BC-4567-B51A-66040F190D4E}" name="Growth%"/>
  </tableColumns>
  <tableStyleInfo name="TableStyleMedium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22086D5-7C4F-44A5-9C5F-869F939DDB32}" name="Table2" displayName="Table2" ref="A1:I46" totalsRowShown="0" headerRowDxfId="8" headerRowBorderDxfId="7" tableBorderDxfId="6">
  <autoFilter ref="A1:I46" xr:uid="{A22086D5-7C4F-44A5-9C5F-869F939DDB32}"/>
  <tableColumns count="9">
    <tableColumn id="1" xr3:uid="{46B3A4E8-62D2-488D-B050-84766E14A1A8}" name="S.No"/>
    <tableColumn id="2" xr3:uid="{4BE1CFC7-A4B0-4CBF-A755-B5D543A150A9}" name="Institution_Name"/>
    <tableColumn id="3" xr3:uid="{24E13F37-A11B-4978-841C-A1EF99692FC4}" name="2013"/>
    <tableColumn id="4" xr3:uid="{38ABF582-D81D-49D5-9EE0-27413C9DE0FC}" name="2014"/>
    <tableColumn id="5" xr3:uid="{B6D99CE3-7F7A-44F0-B5F9-0CEC9C218A51}" name="2015"/>
    <tableColumn id="6" xr3:uid="{CE53FB70-13F2-4511-BB7F-523E12DABB27}" name="2016"/>
    <tableColumn id="7" xr3:uid="{FA8EF976-2BAB-4941-8FE2-9BB9CE499E6B}" name="2017"/>
    <tableColumn id="8" xr3:uid="{858133D1-53AE-409E-A254-05745261CA6D}" name="Total"/>
    <tableColumn id="9" xr3:uid="{50E1B80B-6A15-4758-AA80-2B767565CB2B}" name="Growth%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70894F6-E5AA-4B6E-8627-5D9BE4793527}" name="Table3" displayName="Table3" ref="A1:I42" totalsRowShown="0" headerRowDxfId="5" headerRowBorderDxfId="4" tableBorderDxfId="3">
  <autoFilter ref="A1:I42" xr:uid="{F70894F6-E5AA-4B6E-8627-5D9BE4793527}"/>
  <tableColumns count="9">
    <tableColumn id="1" xr3:uid="{E87CF386-28E8-4984-B603-6A3BE62F9D0E}" name="S.No"/>
    <tableColumn id="2" xr3:uid="{8E849A14-9EE6-4078-B20E-6403095F21A7}" name="Institution_Name"/>
    <tableColumn id="3" xr3:uid="{130D3E40-8BEA-450D-AA99-595379AE74CB}" name="2013"/>
    <tableColumn id="4" xr3:uid="{1BB98998-6141-4E88-8597-EDCED291ADBB}" name="2014"/>
    <tableColumn id="5" xr3:uid="{494106A3-83DB-47D7-AEA1-6B256D815BBD}" name="2015"/>
    <tableColumn id="6" xr3:uid="{13D462BB-6165-45A6-AF42-D4B95C6D8097}" name="2016"/>
    <tableColumn id="7" xr3:uid="{C409F0CE-FC5A-4D0C-9CEC-691BE70BBD21}" name="2017"/>
    <tableColumn id="8" xr3:uid="{1D728153-2B0F-471C-A898-9D22CF4B9C0F}" name="Total"/>
    <tableColumn id="9" xr3:uid="{96D9C4D1-F3CE-45FE-A152-835B4F582D03}" name="Growth%"/>
  </tableColumns>
  <tableStyleInfo name="TableStyleMedium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97CB725-0804-49AD-BF0C-B07B720BFBB4}" name="Table4" displayName="Table4" ref="A1:I49" totalsRowShown="0" headerRowDxfId="2" headerRowBorderDxfId="1" tableBorderDxfId="0">
  <autoFilter ref="A1:I49" xr:uid="{297CB725-0804-49AD-BF0C-B07B720BFBB4}"/>
  <tableColumns count="9">
    <tableColumn id="1" xr3:uid="{85ABF271-57BC-4AFA-9DFA-27491853F6D1}" name="S.No"/>
    <tableColumn id="2" xr3:uid="{87738456-7E5E-46B9-AB96-D2FD99978AEB}" name="Institution_Name"/>
    <tableColumn id="3" xr3:uid="{C423520D-B7A6-4B46-A8EE-A9F1BA2C325C}" name="2013"/>
    <tableColumn id="4" xr3:uid="{70A8F04D-F402-4EAF-8BAF-5746D6D17EB4}" name="2014"/>
    <tableColumn id="5" xr3:uid="{2E69C457-B3E6-43BC-A18C-D09633455DAC}" name="2015"/>
    <tableColumn id="6" xr3:uid="{386510FD-E9E6-457B-9918-4AAAD8071836}" name="2016"/>
    <tableColumn id="7" xr3:uid="{DB9BF1F6-A85B-4811-A9D0-4626CB640B47}" name="2017"/>
    <tableColumn id="8" xr3:uid="{A64C2BED-67CB-40DE-B52D-26300A3A195F}" name="Total"/>
    <tableColumn id="9" xr3:uid="{EB6DBD54-7A9C-4200-98A4-F061E67ACF28}" name="Growth%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E83AC-D499-43AC-9B9D-2D24A2CD600D}">
  <dimension ref="A1:H13"/>
  <sheetViews>
    <sheetView showGridLines="0" tabSelected="1" workbookViewId="0">
      <selection activeCell="H64" sqref="H64"/>
    </sheetView>
  </sheetViews>
  <sheetFormatPr defaultRowHeight="14.4" x14ac:dyDescent="0.3"/>
  <cols>
    <col min="2" max="2" width="57.6640625" bestFit="1" customWidth="1"/>
    <col min="3" max="3" width="10" bestFit="1" customWidth="1"/>
    <col min="4" max="4" width="17.77734375" bestFit="1" customWidth="1"/>
    <col min="6" max="6" width="16.88671875" bestFit="1" customWidth="1"/>
    <col min="8" max="8" width="27" bestFit="1" customWidth="1"/>
    <col min="9" max="9" width="10" bestFit="1" customWidth="1"/>
  </cols>
  <sheetData>
    <row r="1" spans="1:8" ht="25.8" x14ac:dyDescent="0.5">
      <c r="A1" s="9" t="s">
        <v>211</v>
      </c>
      <c r="B1" s="10"/>
      <c r="C1" s="10"/>
      <c r="D1" s="10"/>
      <c r="E1" s="10"/>
      <c r="F1" s="10"/>
      <c r="G1" s="10"/>
      <c r="H1" s="10"/>
    </row>
    <row r="3" spans="1:8" ht="18" x14ac:dyDescent="0.35">
      <c r="A3" s="6"/>
      <c r="B3" s="7" t="s">
        <v>212</v>
      </c>
      <c r="C3" s="6"/>
      <c r="D3" s="7" t="s">
        <v>213</v>
      </c>
      <c r="E3" s="6"/>
      <c r="F3" s="7" t="s">
        <v>214</v>
      </c>
      <c r="G3" s="6"/>
      <c r="H3" s="7" t="s">
        <v>215</v>
      </c>
    </row>
    <row r="4" spans="1:8" ht="18" x14ac:dyDescent="0.35">
      <c r="A4" s="5"/>
      <c r="B4" s="8">
        <f>SUM(Outpatients!H:H)</f>
        <v>143571953</v>
      </c>
      <c r="C4" s="5"/>
      <c r="D4" s="8">
        <f>SUM(Inpatients!H:H)</f>
        <v>50328697</v>
      </c>
      <c r="E4" s="5"/>
      <c r="F4" s="8">
        <f>SUM(Surgeries!H:H)</f>
        <v>4175135</v>
      </c>
      <c r="G4" s="5"/>
      <c r="H4" s="8">
        <f>SUM(Lab_Investigations!H:H)</f>
        <v>180005428</v>
      </c>
    </row>
    <row r="5" spans="1:8" x14ac:dyDescent="0.3">
      <c r="A5" s="5"/>
      <c r="B5" s="5"/>
      <c r="C5" s="5"/>
      <c r="D5" s="5"/>
      <c r="E5" s="5"/>
      <c r="F5" s="5"/>
      <c r="G5" s="5"/>
      <c r="H5" s="5"/>
    </row>
    <row r="7" spans="1:8" ht="18" x14ac:dyDescent="0.35">
      <c r="A7" s="11" t="s">
        <v>217</v>
      </c>
      <c r="B7" s="11"/>
      <c r="C7" s="11"/>
    </row>
    <row r="8" spans="1:8" x14ac:dyDescent="0.3">
      <c r="B8" t="s">
        <v>216</v>
      </c>
      <c r="C8" t="s">
        <v>7</v>
      </c>
    </row>
    <row r="9" spans="1:8" x14ac:dyDescent="0.3">
      <c r="B9" t="s">
        <v>181</v>
      </c>
      <c r="C9">
        <v>13927388</v>
      </c>
    </row>
    <row r="10" spans="1:8" x14ac:dyDescent="0.3">
      <c r="B10" t="s">
        <v>22</v>
      </c>
      <c r="C10">
        <v>12943588</v>
      </c>
    </row>
    <row r="11" spans="1:8" x14ac:dyDescent="0.3">
      <c r="B11" t="s">
        <v>12</v>
      </c>
      <c r="C11">
        <v>12366115</v>
      </c>
    </row>
    <row r="12" spans="1:8" x14ac:dyDescent="0.3">
      <c r="B12" t="s">
        <v>24</v>
      </c>
      <c r="C12">
        <v>9077395</v>
      </c>
    </row>
    <row r="13" spans="1:8" x14ac:dyDescent="0.3">
      <c r="B13" t="s">
        <v>28</v>
      </c>
      <c r="C13">
        <v>7794788</v>
      </c>
    </row>
  </sheetData>
  <mergeCells count="2">
    <mergeCell ref="A1:H1"/>
    <mergeCell ref="A7:C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0"/>
  <sheetViews>
    <sheetView workbookViewId="0">
      <pane ySplit="1" topLeftCell="A2" activePane="bottomLeft" state="frozen"/>
      <selection pane="bottomLeft" activeCell="H9" sqref="H9"/>
    </sheetView>
  </sheetViews>
  <sheetFormatPr defaultRowHeight="14.4" x14ac:dyDescent="0.3"/>
  <cols>
    <col min="1" max="1" width="7.33203125" customWidth="1"/>
    <col min="2" max="2" width="58" bestFit="1" customWidth="1"/>
    <col min="3" max="7" width="9.44140625" bestFit="1" customWidth="1"/>
    <col min="8" max="8" width="9.6640625" bestFit="1" customWidth="1"/>
    <col min="9" max="9" width="13.109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>
        <v>2702566</v>
      </c>
      <c r="D2">
        <v>2791065</v>
      </c>
      <c r="E2">
        <v>2747363</v>
      </c>
      <c r="F2">
        <v>2936104</v>
      </c>
      <c r="G2">
        <v>2750290</v>
      </c>
      <c r="H2">
        <v>13927388</v>
      </c>
      <c r="I2">
        <v>1.8</v>
      </c>
    </row>
    <row r="3" spans="1:9" x14ac:dyDescent="0.3">
      <c r="A3" t="s">
        <v>11</v>
      </c>
      <c r="B3" t="s">
        <v>12</v>
      </c>
      <c r="C3">
        <v>2056720</v>
      </c>
      <c r="D3">
        <v>2097409</v>
      </c>
      <c r="E3">
        <v>2297357</v>
      </c>
      <c r="F3">
        <v>2434812</v>
      </c>
      <c r="G3">
        <v>3479817</v>
      </c>
      <c r="H3">
        <v>12366115</v>
      </c>
      <c r="I3">
        <v>69.2</v>
      </c>
    </row>
    <row r="4" spans="1:9" x14ac:dyDescent="0.3">
      <c r="A4" t="s">
        <v>13</v>
      </c>
      <c r="B4" t="s">
        <v>14</v>
      </c>
      <c r="C4">
        <v>844077</v>
      </c>
      <c r="D4">
        <v>840055</v>
      </c>
      <c r="E4">
        <v>884702</v>
      </c>
      <c r="F4">
        <v>976317</v>
      </c>
      <c r="G4">
        <v>1085369</v>
      </c>
      <c r="H4">
        <v>4630520</v>
      </c>
      <c r="I4">
        <v>28.6</v>
      </c>
    </row>
    <row r="5" spans="1:9" x14ac:dyDescent="0.3">
      <c r="A5" t="s">
        <v>15</v>
      </c>
      <c r="B5" t="s">
        <v>16</v>
      </c>
      <c r="C5">
        <v>1169962</v>
      </c>
      <c r="D5">
        <v>1109754</v>
      </c>
      <c r="E5">
        <v>1166155</v>
      </c>
      <c r="F5">
        <v>1144448</v>
      </c>
      <c r="G5">
        <v>1168507</v>
      </c>
      <c r="H5">
        <v>5758826</v>
      </c>
      <c r="I5">
        <v>-0.1</v>
      </c>
    </row>
    <row r="6" spans="1:9" x14ac:dyDescent="0.3">
      <c r="A6" t="s">
        <v>17</v>
      </c>
      <c r="B6" t="s">
        <v>18</v>
      </c>
      <c r="C6">
        <v>1141168</v>
      </c>
      <c r="D6">
        <v>1139562</v>
      </c>
      <c r="E6">
        <v>1117473</v>
      </c>
      <c r="F6">
        <v>837939</v>
      </c>
      <c r="G6">
        <v>828404</v>
      </c>
      <c r="H6">
        <v>5064546</v>
      </c>
      <c r="I6">
        <v>-27.4</v>
      </c>
    </row>
    <row r="7" spans="1:9" x14ac:dyDescent="0.3">
      <c r="A7" t="s">
        <v>19</v>
      </c>
      <c r="B7" t="s">
        <v>20</v>
      </c>
      <c r="C7">
        <v>470522</v>
      </c>
      <c r="D7">
        <v>468659</v>
      </c>
      <c r="E7">
        <v>534724</v>
      </c>
      <c r="F7">
        <v>548200</v>
      </c>
      <c r="G7">
        <v>550364</v>
      </c>
      <c r="H7">
        <v>2572469</v>
      </c>
      <c r="I7">
        <v>17</v>
      </c>
    </row>
    <row r="8" spans="1:9" x14ac:dyDescent="0.3">
      <c r="A8" t="s">
        <v>21</v>
      </c>
      <c r="B8" t="s">
        <v>22</v>
      </c>
      <c r="C8">
        <v>2562170</v>
      </c>
      <c r="D8">
        <v>2497722</v>
      </c>
      <c r="E8">
        <v>2675649</v>
      </c>
      <c r="F8">
        <v>2677264</v>
      </c>
      <c r="G8">
        <v>2530783</v>
      </c>
      <c r="H8">
        <v>12943588</v>
      </c>
      <c r="I8">
        <v>-1.2</v>
      </c>
    </row>
    <row r="9" spans="1:9" x14ac:dyDescent="0.3">
      <c r="A9" t="s">
        <v>23</v>
      </c>
      <c r="B9" t="s">
        <v>24</v>
      </c>
      <c r="C9">
        <v>1742486</v>
      </c>
      <c r="D9">
        <v>1787631</v>
      </c>
      <c r="E9">
        <v>2015663</v>
      </c>
      <c r="F9">
        <v>1751989</v>
      </c>
      <c r="G9">
        <v>1779626</v>
      </c>
      <c r="H9">
        <v>9077395</v>
      </c>
      <c r="I9">
        <v>2.1</v>
      </c>
    </row>
    <row r="10" spans="1:9" x14ac:dyDescent="0.3">
      <c r="A10" t="s">
        <v>25</v>
      </c>
      <c r="B10" t="s">
        <v>26</v>
      </c>
      <c r="C10">
        <v>1107714</v>
      </c>
      <c r="D10">
        <v>1331301</v>
      </c>
      <c r="E10">
        <v>1338448</v>
      </c>
      <c r="F10">
        <v>1313015</v>
      </c>
      <c r="G10">
        <v>1392365</v>
      </c>
      <c r="H10">
        <v>6482843</v>
      </c>
      <c r="I10">
        <v>25.7</v>
      </c>
    </row>
    <row r="11" spans="1:9" x14ac:dyDescent="0.3">
      <c r="A11" t="s">
        <v>27</v>
      </c>
      <c r="B11" t="s">
        <v>28</v>
      </c>
      <c r="C11">
        <v>1755810</v>
      </c>
      <c r="D11">
        <v>1781020</v>
      </c>
      <c r="E11">
        <v>1305480</v>
      </c>
      <c r="F11">
        <v>1418904</v>
      </c>
      <c r="G11">
        <v>1533574</v>
      </c>
      <c r="H11">
        <v>7794788</v>
      </c>
      <c r="I11">
        <v>-12.7</v>
      </c>
    </row>
    <row r="12" spans="1:9" x14ac:dyDescent="0.3">
      <c r="A12" t="s">
        <v>29</v>
      </c>
      <c r="B12" t="s">
        <v>30</v>
      </c>
      <c r="C12">
        <v>873469</v>
      </c>
      <c r="D12">
        <v>972724</v>
      </c>
      <c r="E12">
        <v>1013945</v>
      </c>
      <c r="F12">
        <v>1147782</v>
      </c>
      <c r="G12">
        <v>1132533</v>
      </c>
      <c r="H12">
        <v>5140453</v>
      </c>
      <c r="I12">
        <v>29.7</v>
      </c>
    </row>
    <row r="13" spans="1:9" x14ac:dyDescent="0.3">
      <c r="A13" t="s">
        <v>31</v>
      </c>
      <c r="B13" t="s">
        <v>32</v>
      </c>
      <c r="C13">
        <v>534791</v>
      </c>
      <c r="D13">
        <v>576514</v>
      </c>
      <c r="E13">
        <v>581352</v>
      </c>
      <c r="F13">
        <v>552226</v>
      </c>
      <c r="G13">
        <v>577943</v>
      </c>
      <c r="H13">
        <v>2822826</v>
      </c>
      <c r="I13">
        <v>8.1</v>
      </c>
    </row>
    <row r="14" spans="1:9" x14ac:dyDescent="0.3">
      <c r="A14" t="s">
        <v>33</v>
      </c>
      <c r="B14" t="s">
        <v>34</v>
      </c>
      <c r="C14">
        <v>646262</v>
      </c>
      <c r="D14">
        <v>658215</v>
      </c>
      <c r="E14">
        <v>704756</v>
      </c>
      <c r="F14">
        <v>739201</v>
      </c>
      <c r="G14">
        <v>752239</v>
      </c>
      <c r="H14">
        <v>3500673</v>
      </c>
      <c r="I14">
        <v>16.399999999999999</v>
      </c>
    </row>
    <row r="15" spans="1:9" x14ac:dyDescent="0.3">
      <c r="A15" t="s">
        <v>35</v>
      </c>
      <c r="B15" t="s">
        <v>36</v>
      </c>
      <c r="C15">
        <v>764933</v>
      </c>
      <c r="D15">
        <v>753211</v>
      </c>
      <c r="E15">
        <v>785859</v>
      </c>
      <c r="F15">
        <v>747148</v>
      </c>
      <c r="G15">
        <v>782842</v>
      </c>
      <c r="H15">
        <v>3833993</v>
      </c>
      <c r="I15">
        <v>2.2999999999999998</v>
      </c>
    </row>
    <row r="16" spans="1:9" x14ac:dyDescent="0.3">
      <c r="A16" t="s">
        <v>37</v>
      </c>
      <c r="B16" t="s">
        <v>38</v>
      </c>
      <c r="C16">
        <v>529038</v>
      </c>
      <c r="D16">
        <v>533205</v>
      </c>
      <c r="E16">
        <v>597117</v>
      </c>
      <c r="F16">
        <v>620868</v>
      </c>
      <c r="G16">
        <v>645846</v>
      </c>
      <c r="H16">
        <v>2926074</v>
      </c>
      <c r="I16">
        <v>22.1</v>
      </c>
    </row>
    <row r="17" spans="1:9" x14ac:dyDescent="0.3">
      <c r="A17" t="s">
        <v>39</v>
      </c>
      <c r="B17" t="s">
        <v>40</v>
      </c>
      <c r="C17">
        <v>691142</v>
      </c>
      <c r="D17">
        <v>635587</v>
      </c>
      <c r="E17">
        <v>711822</v>
      </c>
      <c r="F17">
        <v>843473</v>
      </c>
      <c r="G17">
        <v>928969</v>
      </c>
      <c r="H17">
        <v>3810993</v>
      </c>
      <c r="I17">
        <v>34.4</v>
      </c>
    </row>
    <row r="18" spans="1:9" x14ac:dyDescent="0.3">
      <c r="A18" t="s">
        <v>41</v>
      </c>
      <c r="B18" t="s">
        <v>42</v>
      </c>
      <c r="C18">
        <v>702062</v>
      </c>
      <c r="D18">
        <v>699736</v>
      </c>
      <c r="E18">
        <v>719655</v>
      </c>
      <c r="F18">
        <v>819379</v>
      </c>
      <c r="G18">
        <v>851538</v>
      </c>
      <c r="H18">
        <v>3792370</v>
      </c>
      <c r="I18">
        <v>21.3</v>
      </c>
    </row>
    <row r="19" spans="1:9" x14ac:dyDescent="0.3">
      <c r="A19" t="s">
        <v>43</v>
      </c>
      <c r="B19" t="s">
        <v>44</v>
      </c>
      <c r="C19">
        <v>337364</v>
      </c>
      <c r="D19">
        <v>350622</v>
      </c>
      <c r="E19">
        <v>432874</v>
      </c>
      <c r="F19">
        <v>402993</v>
      </c>
      <c r="G19">
        <v>509276</v>
      </c>
      <c r="H19">
        <v>2033129</v>
      </c>
      <c r="I19">
        <v>51</v>
      </c>
    </row>
    <row r="20" spans="1:9" x14ac:dyDescent="0.3">
      <c r="A20" t="s">
        <v>45</v>
      </c>
      <c r="B20" t="s">
        <v>46</v>
      </c>
      <c r="C20">
        <v>385649</v>
      </c>
      <c r="D20">
        <v>396110</v>
      </c>
      <c r="E20">
        <v>417026</v>
      </c>
      <c r="F20">
        <v>443912</v>
      </c>
      <c r="G20">
        <v>455701</v>
      </c>
      <c r="H20">
        <v>2098398</v>
      </c>
      <c r="I20">
        <v>18.2</v>
      </c>
    </row>
    <row r="21" spans="1:9" x14ac:dyDescent="0.3">
      <c r="A21" t="s">
        <v>47</v>
      </c>
      <c r="B21" t="s">
        <v>48</v>
      </c>
      <c r="C21">
        <v>793941</v>
      </c>
      <c r="D21">
        <v>722266</v>
      </c>
      <c r="E21">
        <v>725219</v>
      </c>
      <c r="F21">
        <v>886428</v>
      </c>
      <c r="G21">
        <v>1042182</v>
      </c>
      <c r="H21">
        <v>4170036</v>
      </c>
      <c r="I21">
        <v>31.3</v>
      </c>
    </row>
    <row r="22" spans="1:9" x14ac:dyDescent="0.3">
      <c r="A22" t="s">
        <v>49</v>
      </c>
      <c r="B22" t="s">
        <v>50</v>
      </c>
      <c r="C22">
        <v>0</v>
      </c>
      <c r="D22">
        <v>74921</v>
      </c>
      <c r="E22">
        <v>111580</v>
      </c>
      <c r="F22">
        <v>145596</v>
      </c>
      <c r="G22">
        <v>180766</v>
      </c>
      <c r="H22">
        <v>512863</v>
      </c>
      <c r="I22">
        <f>IF(AND(C22=0, D22=0, E22=0), "New Hospital", ((H22-F22)/F22)*100)</f>
        <v>252.25074864694085</v>
      </c>
    </row>
    <row r="23" spans="1:9" x14ac:dyDescent="0.3">
      <c r="A23" t="s">
        <v>51</v>
      </c>
      <c r="B23" t="s">
        <v>52</v>
      </c>
      <c r="C23">
        <v>0</v>
      </c>
      <c r="D23">
        <v>0</v>
      </c>
      <c r="E23">
        <v>0</v>
      </c>
      <c r="F23">
        <v>963261</v>
      </c>
      <c r="G23">
        <v>1221391</v>
      </c>
      <c r="H23">
        <v>2184652</v>
      </c>
      <c r="I23">
        <v>0</v>
      </c>
    </row>
    <row r="24" spans="1:9" x14ac:dyDescent="0.3">
      <c r="A24" t="s">
        <v>53</v>
      </c>
      <c r="B24" t="s">
        <v>54</v>
      </c>
      <c r="C24">
        <v>0</v>
      </c>
      <c r="D24">
        <v>0</v>
      </c>
      <c r="E24">
        <v>0</v>
      </c>
      <c r="F24">
        <v>578351</v>
      </c>
      <c r="G24">
        <v>556562</v>
      </c>
      <c r="H24">
        <v>1134913</v>
      </c>
      <c r="I24">
        <v>0</v>
      </c>
    </row>
    <row r="25" spans="1:9" x14ac:dyDescent="0.3">
      <c r="A25" t="s">
        <v>55</v>
      </c>
      <c r="B25" t="s">
        <v>56</v>
      </c>
      <c r="C25">
        <v>0</v>
      </c>
      <c r="D25">
        <v>0</v>
      </c>
      <c r="E25">
        <v>0</v>
      </c>
      <c r="F25">
        <v>0</v>
      </c>
      <c r="G25">
        <v>324518</v>
      </c>
      <c r="H25">
        <v>324518</v>
      </c>
      <c r="I25">
        <v>0</v>
      </c>
    </row>
    <row r="26" spans="1:9" x14ac:dyDescent="0.3">
      <c r="A26" t="s">
        <v>57</v>
      </c>
      <c r="B26" t="s">
        <v>58</v>
      </c>
      <c r="C26">
        <v>802069</v>
      </c>
      <c r="D26">
        <v>814184</v>
      </c>
      <c r="E26">
        <v>833352</v>
      </c>
      <c r="F26">
        <v>923751</v>
      </c>
      <c r="G26">
        <v>946725</v>
      </c>
      <c r="H26">
        <v>4320081</v>
      </c>
      <c r="I26">
        <v>18</v>
      </c>
    </row>
    <row r="27" spans="1:9" x14ac:dyDescent="0.3">
      <c r="A27" t="s">
        <v>59</v>
      </c>
      <c r="B27" t="s">
        <v>60</v>
      </c>
      <c r="C27">
        <v>133301</v>
      </c>
      <c r="D27">
        <v>144295</v>
      </c>
      <c r="E27">
        <v>154202</v>
      </c>
      <c r="F27">
        <v>171051</v>
      </c>
      <c r="G27">
        <v>165374</v>
      </c>
      <c r="H27">
        <v>768223</v>
      </c>
      <c r="I27">
        <v>24.1</v>
      </c>
    </row>
    <row r="28" spans="1:9" x14ac:dyDescent="0.3">
      <c r="A28" t="s">
        <v>61</v>
      </c>
      <c r="B28" t="s">
        <v>62</v>
      </c>
      <c r="C28">
        <v>561511</v>
      </c>
      <c r="D28">
        <v>534180</v>
      </c>
      <c r="E28">
        <v>594760</v>
      </c>
      <c r="F28">
        <v>594307</v>
      </c>
      <c r="G28">
        <v>639093</v>
      </c>
      <c r="H28">
        <v>2923851</v>
      </c>
      <c r="I28">
        <v>13.8</v>
      </c>
    </row>
    <row r="29" spans="1:9" x14ac:dyDescent="0.3">
      <c r="A29" t="s">
        <v>63</v>
      </c>
      <c r="B29" t="s">
        <v>64</v>
      </c>
      <c r="C29">
        <v>256614</v>
      </c>
      <c r="D29">
        <v>277339</v>
      </c>
      <c r="E29">
        <v>254208</v>
      </c>
      <c r="F29">
        <v>265290</v>
      </c>
      <c r="G29">
        <v>236711</v>
      </c>
      <c r="H29">
        <v>1290162</v>
      </c>
      <c r="I29">
        <v>-7.8</v>
      </c>
    </row>
    <row r="30" spans="1:9" x14ac:dyDescent="0.3">
      <c r="A30" t="s">
        <v>65</v>
      </c>
      <c r="B30" t="s">
        <v>66</v>
      </c>
      <c r="C30">
        <v>133122</v>
      </c>
      <c r="D30">
        <v>141735</v>
      </c>
      <c r="E30">
        <v>121411</v>
      </c>
      <c r="F30">
        <v>123743</v>
      </c>
      <c r="G30">
        <v>123999</v>
      </c>
      <c r="H30">
        <v>644010</v>
      </c>
      <c r="I30">
        <v>-6.9</v>
      </c>
    </row>
    <row r="31" spans="1:9" x14ac:dyDescent="0.3">
      <c r="A31" t="s">
        <v>67</v>
      </c>
      <c r="B31" t="s">
        <v>68</v>
      </c>
      <c r="C31">
        <v>254895</v>
      </c>
      <c r="D31">
        <v>239947</v>
      </c>
      <c r="E31">
        <v>356667</v>
      </c>
      <c r="F31">
        <v>441347</v>
      </c>
      <c r="G31">
        <v>512661</v>
      </c>
      <c r="H31">
        <v>1805517</v>
      </c>
      <c r="I31">
        <v>101.1</v>
      </c>
    </row>
    <row r="32" spans="1:9" x14ac:dyDescent="0.3">
      <c r="A32" t="s">
        <v>69</v>
      </c>
      <c r="B32" t="s">
        <v>70</v>
      </c>
      <c r="C32">
        <v>85432</v>
      </c>
      <c r="D32">
        <v>86946</v>
      </c>
      <c r="E32">
        <v>90794</v>
      </c>
      <c r="F32">
        <v>85097</v>
      </c>
      <c r="G32">
        <v>86607</v>
      </c>
      <c r="H32">
        <v>434876</v>
      </c>
      <c r="I32">
        <v>1.4</v>
      </c>
    </row>
    <row r="33" spans="1:9" x14ac:dyDescent="0.3">
      <c r="A33" t="s">
        <v>71</v>
      </c>
      <c r="B33" t="s">
        <v>72</v>
      </c>
      <c r="C33">
        <v>205101</v>
      </c>
      <c r="D33">
        <v>182203</v>
      </c>
      <c r="E33">
        <v>176059</v>
      </c>
      <c r="F33">
        <v>167230</v>
      </c>
      <c r="G33">
        <v>165386</v>
      </c>
      <c r="H33">
        <v>895979</v>
      </c>
      <c r="I33">
        <v>-19.399999999999999</v>
      </c>
    </row>
    <row r="34" spans="1:9" x14ac:dyDescent="0.3">
      <c r="A34" t="s">
        <v>73</v>
      </c>
      <c r="B34" t="s">
        <v>74</v>
      </c>
      <c r="C34">
        <v>82473</v>
      </c>
      <c r="D34">
        <v>79094</v>
      </c>
      <c r="E34">
        <v>62590</v>
      </c>
      <c r="F34">
        <v>63019</v>
      </c>
      <c r="G34">
        <v>68565</v>
      </c>
      <c r="H34">
        <v>355741</v>
      </c>
      <c r="I34">
        <v>-16.899999999999999</v>
      </c>
    </row>
    <row r="35" spans="1:9" x14ac:dyDescent="0.3">
      <c r="A35" t="s">
        <v>75</v>
      </c>
      <c r="B35" t="s">
        <v>76</v>
      </c>
      <c r="C35">
        <v>205802</v>
      </c>
      <c r="D35">
        <v>202721</v>
      </c>
      <c r="E35">
        <v>194798</v>
      </c>
      <c r="F35">
        <v>190343</v>
      </c>
      <c r="G35">
        <v>168539</v>
      </c>
      <c r="H35">
        <v>962203</v>
      </c>
      <c r="I35">
        <v>-18.100000000000001</v>
      </c>
    </row>
    <row r="36" spans="1:9" x14ac:dyDescent="0.3">
      <c r="A36" t="s">
        <v>77</v>
      </c>
      <c r="B36" t="s">
        <v>78</v>
      </c>
      <c r="C36">
        <v>311045</v>
      </c>
      <c r="D36">
        <v>296665</v>
      </c>
      <c r="E36">
        <v>262680</v>
      </c>
      <c r="F36">
        <v>248255</v>
      </c>
      <c r="G36">
        <v>256982</v>
      </c>
      <c r="H36">
        <v>1375627</v>
      </c>
      <c r="I36">
        <v>-17.399999999999999</v>
      </c>
    </row>
    <row r="37" spans="1:9" x14ac:dyDescent="0.3">
      <c r="A37" t="s">
        <v>79</v>
      </c>
      <c r="B37" t="s">
        <v>80</v>
      </c>
      <c r="C37">
        <v>344698</v>
      </c>
      <c r="D37">
        <v>349107</v>
      </c>
      <c r="E37">
        <v>401251</v>
      </c>
      <c r="F37">
        <v>378238</v>
      </c>
      <c r="G37">
        <v>390891</v>
      </c>
      <c r="H37">
        <v>1864185</v>
      </c>
      <c r="I37">
        <v>13.4</v>
      </c>
    </row>
    <row r="38" spans="1:9" x14ac:dyDescent="0.3">
      <c r="A38" t="s">
        <v>81</v>
      </c>
      <c r="B38" t="s">
        <v>82</v>
      </c>
      <c r="C38">
        <v>0</v>
      </c>
      <c r="D38">
        <v>0</v>
      </c>
      <c r="E38">
        <v>312385</v>
      </c>
      <c r="F38">
        <v>395102</v>
      </c>
      <c r="G38">
        <v>426624</v>
      </c>
      <c r="H38">
        <v>1134111</v>
      </c>
      <c r="I38">
        <v>0</v>
      </c>
    </row>
    <row r="39" spans="1:9" x14ac:dyDescent="0.3">
      <c r="A39" t="s">
        <v>83</v>
      </c>
      <c r="B39" t="s">
        <v>84</v>
      </c>
      <c r="C39">
        <v>286075</v>
      </c>
      <c r="D39">
        <v>288006</v>
      </c>
      <c r="E39">
        <v>293591</v>
      </c>
      <c r="F39">
        <v>297902</v>
      </c>
      <c r="G39">
        <v>291129</v>
      </c>
      <c r="H39">
        <v>1456703</v>
      </c>
      <c r="I39">
        <v>1.8</v>
      </c>
    </row>
    <row r="40" spans="1:9" x14ac:dyDescent="0.3">
      <c r="A40" t="s">
        <v>85</v>
      </c>
      <c r="B40" t="s">
        <v>86</v>
      </c>
      <c r="C40">
        <v>105287</v>
      </c>
      <c r="D40">
        <v>100673</v>
      </c>
      <c r="E40">
        <v>85608</v>
      </c>
      <c r="F40">
        <v>65408</v>
      </c>
      <c r="G40">
        <v>58994</v>
      </c>
      <c r="H40">
        <v>415970</v>
      </c>
      <c r="I40">
        <v>-44</v>
      </c>
    </row>
    <row r="41" spans="1:9" x14ac:dyDescent="0.3">
      <c r="A41" t="s">
        <v>87</v>
      </c>
      <c r="B41" t="s">
        <v>88</v>
      </c>
      <c r="C41">
        <v>362479</v>
      </c>
      <c r="D41">
        <v>302108</v>
      </c>
      <c r="E41">
        <v>346358</v>
      </c>
      <c r="F41">
        <v>324100</v>
      </c>
      <c r="G41">
        <v>0</v>
      </c>
      <c r="H41">
        <v>1335045</v>
      </c>
      <c r="I41">
        <v>-100</v>
      </c>
    </row>
    <row r="42" spans="1:9" x14ac:dyDescent="0.3">
      <c r="A42" t="s">
        <v>89</v>
      </c>
      <c r="B42" t="s">
        <v>90</v>
      </c>
      <c r="C42">
        <v>6395</v>
      </c>
      <c r="D42">
        <v>9353</v>
      </c>
      <c r="E42">
        <v>12256</v>
      </c>
      <c r="F42">
        <v>11996</v>
      </c>
      <c r="G42">
        <v>12140</v>
      </c>
      <c r="H42">
        <v>52140</v>
      </c>
      <c r="I42">
        <v>89.8</v>
      </c>
    </row>
    <row r="43" spans="1:9" x14ac:dyDescent="0.3">
      <c r="A43" t="s">
        <v>91</v>
      </c>
      <c r="B43" t="s">
        <v>92</v>
      </c>
      <c r="C43">
        <v>29124</v>
      </c>
      <c r="D43">
        <v>28226</v>
      </c>
      <c r="E43">
        <v>26730</v>
      </c>
      <c r="F43">
        <v>30972</v>
      </c>
      <c r="G43">
        <v>30920</v>
      </c>
      <c r="H43">
        <v>145972</v>
      </c>
      <c r="I43">
        <v>6.2</v>
      </c>
    </row>
    <row r="44" spans="1:9" x14ac:dyDescent="0.3">
      <c r="A44" t="s">
        <v>93</v>
      </c>
      <c r="B44" t="s">
        <v>94</v>
      </c>
      <c r="C44">
        <v>16781</v>
      </c>
      <c r="D44">
        <v>13873</v>
      </c>
      <c r="E44">
        <v>16030</v>
      </c>
      <c r="F44">
        <v>15512</v>
      </c>
      <c r="G44">
        <v>11986</v>
      </c>
      <c r="H44">
        <v>74182</v>
      </c>
      <c r="I44">
        <v>-28.6</v>
      </c>
    </row>
    <row r="45" spans="1:9" x14ac:dyDescent="0.3">
      <c r="A45" t="s">
        <v>95</v>
      </c>
      <c r="B45" t="s">
        <v>96</v>
      </c>
      <c r="C45">
        <v>32139</v>
      </c>
      <c r="D45">
        <v>34429</v>
      </c>
      <c r="E45">
        <v>37047</v>
      </c>
      <c r="F45">
        <v>41257</v>
      </c>
      <c r="G45">
        <v>33242</v>
      </c>
      <c r="H45">
        <v>178114</v>
      </c>
      <c r="I45">
        <v>3.4</v>
      </c>
    </row>
    <row r="46" spans="1:9" x14ac:dyDescent="0.3">
      <c r="A46" t="s">
        <v>97</v>
      </c>
      <c r="B46" t="s">
        <v>98</v>
      </c>
      <c r="C46">
        <v>194749</v>
      </c>
      <c r="D46">
        <v>212731</v>
      </c>
      <c r="E46">
        <v>206392</v>
      </c>
      <c r="F46">
        <v>140121</v>
      </c>
      <c r="G46">
        <v>125721</v>
      </c>
      <c r="H46">
        <v>879714</v>
      </c>
      <c r="I46">
        <v>-35.4</v>
      </c>
    </row>
    <row r="47" spans="1:9" x14ac:dyDescent="0.3">
      <c r="A47" t="s">
        <v>99</v>
      </c>
      <c r="B47" t="s">
        <v>100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9" x14ac:dyDescent="0.3">
      <c r="A48" t="s">
        <v>101</v>
      </c>
      <c r="B48" t="s">
        <v>102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9" x14ac:dyDescent="0.3">
      <c r="A49" t="s">
        <v>103</v>
      </c>
      <c r="B49" t="s">
        <v>104</v>
      </c>
      <c r="C49">
        <v>122348</v>
      </c>
      <c r="D49">
        <v>111692</v>
      </c>
      <c r="E49">
        <v>117528</v>
      </c>
      <c r="F49">
        <v>111041</v>
      </c>
      <c r="G49">
        <v>114113</v>
      </c>
      <c r="H49">
        <v>576722</v>
      </c>
      <c r="I49">
        <v>-6.7</v>
      </c>
    </row>
    <row r="50" spans="1:9" x14ac:dyDescent="0.3">
      <c r="A50" t="s">
        <v>105</v>
      </c>
      <c r="B50" t="s">
        <v>106</v>
      </c>
      <c r="C50">
        <v>20400</v>
      </c>
      <c r="D50">
        <v>22331</v>
      </c>
      <c r="E50">
        <v>20894</v>
      </c>
      <c r="F50">
        <v>20011</v>
      </c>
      <c r="G50">
        <v>18370</v>
      </c>
      <c r="H50">
        <v>102006</v>
      </c>
      <c r="I50">
        <v>-10</v>
      </c>
    </row>
    <row r="51" spans="1:9" x14ac:dyDescent="0.3">
      <c r="A51" t="s">
        <v>107</v>
      </c>
      <c r="B51" t="s">
        <v>108</v>
      </c>
      <c r="C51">
        <v>0</v>
      </c>
      <c r="D51">
        <v>21331</v>
      </c>
      <c r="E51">
        <v>9513</v>
      </c>
      <c r="F51">
        <v>9020</v>
      </c>
      <c r="G51">
        <v>5975</v>
      </c>
      <c r="H51">
        <v>45839</v>
      </c>
      <c r="I51">
        <v>0</v>
      </c>
    </row>
    <row r="52" spans="1:9" x14ac:dyDescent="0.3">
      <c r="A52" t="s">
        <v>109</v>
      </c>
      <c r="B52" t="s">
        <v>110</v>
      </c>
      <c r="C52">
        <v>0</v>
      </c>
      <c r="D52">
        <v>16271</v>
      </c>
      <c r="E52">
        <v>10354</v>
      </c>
      <c r="F52">
        <v>8382</v>
      </c>
      <c r="G52">
        <v>7553</v>
      </c>
      <c r="H52">
        <v>42560</v>
      </c>
      <c r="I52">
        <v>0</v>
      </c>
    </row>
    <row r="53" spans="1:9" x14ac:dyDescent="0.3">
      <c r="A53" t="s">
        <v>111</v>
      </c>
      <c r="B53" t="s">
        <v>112</v>
      </c>
      <c r="C53">
        <v>0</v>
      </c>
      <c r="D53">
        <v>80215</v>
      </c>
      <c r="E53">
        <v>62328</v>
      </c>
      <c r="F53">
        <v>64104</v>
      </c>
      <c r="G53">
        <v>61399</v>
      </c>
      <c r="H53">
        <v>268046</v>
      </c>
      <c r="I53">
        <v>0</v>
      </c>
    </row>
    <row r="54" spans="1:9" x14ac:dyDescent="0.3">
      <c r="A54" t="s">
        <v>113</v>
      </c>
      <c r="B54" t="s">
        <v>114</v>
      </c>
      <c r="C54">
        <v>0</v>
      </c>
      <c r="D54">
        <v>14652</v>
      </c>
      <c r="E54">
        <v>12203</v>
      </c>
      <c r="F54">
        <v>12197</v>
      </c>
      <c r="G54">
        <v>16940</v>
      </c>
      <c r="H54">
        <v>55992</v>
      </c>
      <c r="I54">
        <v>0</v>
      </c>
    </row>
    <row r="55" spans="1:9" x14ac:dyDescent="0.3">
      <c r="A55" t="s">
        <v>115</v>
      </c>
      <c r="B55" t="s">
        <v>116</v>
      </c>
      <c r="C55">
        <v>0</v>
      </c>
      <c r="D55">
        <v>0</v>
      </c>
      <c r="E55">
        <v>6030</v>
      </c>
      <c r="F55">
        <v>6052</v>
      </c>
      <c r="G55">
        <v>3079</v>
      </c>
      <c r="H55">
        <v>15161</v>
      </c>
      <c r="I55">
        <v>0</v>
      </c>
    </row>
    <row r="56" spans="1:9" x14ac:dyDescent="0.3">
      <c r="A56" t="s">
        <v>117</v>
      </c>
      <c r="B56" t="s">
        <v>118</v>
      </c>
      <c r="C56">
        <v>0</v>
      </c>
      <c r="D56">
        <v>0</v>
      </c>
      <c r="E56">
        <v>6860</v>
      </c>
      <c r="F56">
        <v>6801</v>
      </c>
      <c r="G56">
        <v>6161</v>
      </c>
      <c r="H56">
        <v>19822</v>
      </c>
      <c r="I56">
        <v>0</v>
      </c>
    </row>
    <row r="57" spans="1:9" x14ac:dyDescent="0.3">
      <c r="A57" t="s">
        <v>119</v>
      </c>
      <c r="B57" t="s">
        <v>120</v>
      </c>
      <c r="C57">
        <v>0</v>
      </c>
      <c r="D57">
        <v>0</v>
      </c>
      <c r="E57">
        <v>18088</v>
      </c>
      <c r="F57">
        <v>16451</v>
      </c>
      <c r="G57">
        <v>13803</v>
      </c>
      <c r="H57">
        <v>48342</v>
      </c>
      <c r="I57">
        <v>0</v>
      </c>
    </row>
    <row r="58" spans="1:9" x14ac:dyDescent="0.3">
      <c r="A58" t="s">
        <v>121</v>
      </c>
      <c r="B58" t="s">
        <v>122</v>
      </c>
      <c r="C58">
        <v>0</v>
      </c>
      <c r="D58">
        <v>0</v>
      </c>
      <c r="E58">
        <v>14970</v>
      </c>
      <c r="F58">
        <v>17301</v>
      </c>
      <c r="G58">
        <v>18409</v>
      </c>
      <c r="H58">
        <v>50680</v>
      </c>
      <c r="I58">
        <v>0</v>
      </c>
    </row>
    <row r="59" spans="1:9" x14ac:dyDescent="0.3">
      <c r="A59" t="s">
        <v>123</v>
      </c>
      <c r="B59" t="s">
        <v>124</v>
      </c>
      <c r="C59">
        <v>0</v>
      </c>
      <c r="D59">
        <v>0</v>
      </c>
      <c r="E59">
        <v>43280</v>
      </c>
      <c r="F59">
        <v>30423</v>
      </c>
      <c r="G59">
        <v>25943</v>
      </c>
      <c r="H59">
        <v>99646</v>
      </c>
      <c r="I59">
        <v>0</v>
      </c>
    </row>
    <row r="60" spans="1:9" x14ac:dyDescent="0.3">
      <c r="A60" t="s">
        <v>125</v>
      </c>
      <c r="B60" t="s">
        <v>126</v>
      </c>
      <c r="C60">
        <v>0</v>
      </c>
      <c r="D60">
        <v>0</v>
      </c>
      <c r="E60">
        <v>10876</v>
      </c>
      <c r="F60">
        <v>9931</v>
      </c>
      <c r="G60">
        <v>9555</v>
      </c>
      <c r="H60">
        <v>30362</v>
      </c>
      <c r="I60">
        <v>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B8754-8505-4A59-9A83-BA1443FDC9AB}">
  <dimension ref="A3:C63"/>
  <sheetViews>
    <sheetView workbookViewId="0">
      <selection activeCell="A31" sqref="A31"/>
    </sheetView>
  </sheetViews>
  <sheetFormatPr defaultRowHeight="14.4" x14ac:dyDescent="0.3"/>
  <cols>
    <col min="1" max="1" width="58" bestFit="1" customWidth="1"/>
    <col min="2" max="2" width="11.6640625" bestFit="1" customWidth="1"/>
    <col min="3" max="3" width="18.44140625" bestFit="1" customWidth="1"/>
  </cols>
  <sheetData>
    <row r="3" spans="1:3" x14ac:dyDescent="0.3">
      <c r="A3" s="3" t="s">
        <v>207</v>
      </c>
      <c r="B3" t="s">
        <v>209</v>
      </c>
      <c r="C3" t="s">
        <v>210</v>
      </c>
    </row>
    <row r="4" spans="1:3" x14ac:dyDescent="0.3">
      <c r="A4" s="4" t="s">
        <v>10</v>
      </c>
      <c r="B4">
        <v>13927388</v>
      </c>
      <c r="C4">
        <v>1.8</v>
      </c>
    </row>
    <row r="5" spans="1:3" x14ac:dyDescent="0.3">
      <c r="A5" s="4" t="s">
        <v>22</v>
      </c>
      <c r="B5">
        <v>12943588</v>
      </c>
      <c r="C5">
        <v>-1.2</v>
      </c>
    </row>
    <row r="6" spans="1:3" x14ac:dyDescent="0.3">
      <c r="A6" s="4" t="s">
        <v>12</v>
      </c>
      <c r="B6">
        <v>12366115</v>
      </c>
      <c r="C6">
        <v>69.2</v>
      </c>
    </row>
    <row r="7" spans="1:3" x14ac:dyDescent="0.3">
      <c r="A7" s="4" t="s">
        <v>24</v>
      </c>
      <c r="B7">
        <v>9077395</v>
      </c>
      <c r="C7">
        <v>2.1</v>
      </c>
    </row>
    <row r="8" spans="1:3" x14ac:dyDescent="0.3">
      <c r="A8" s="4" t="s">
        <v>28</v>
      </c>
      <c r="B8">
        <v>7794788</v>
      </c>
      <c r="C8">
        <v>-12.7</v>
      </c>
    </row>
    <row r="9" spans="1:3" x14ac:dyDescent="0.3">
      <c r="A9" s="4" t="s">
        <v>26</v>
      </c>
      <c r="B9">
        <v>6482843</v>
      </c>
      <c r="C9">
        <v>25.7</v>
      </c>
    </row>
    <row r="10" spans="1:3" x14ac:dyDescent="0.3">
      <c r="A10" s="4" t="s">
        <v>16</v>
      </c>
      <c r="B10">
        <v>5758826</v>
      </c>
      <c r="C10">
        <v>-0.1</v>
      </c>
    </row>
    <row r="11" spans="1:3" x14ac:dyDescent="0.3">
      <c r="A11" s="4" t="s">
        <v>30</v>
      </c>
      <c r="B11">
        <v>5140453</v>
      </c>
      <c r="C11">
        <v>29.7</v>
      </c>
    </row>
    <row r="12" spans="1:3" x14ac:dyDescent="0.3">
      <c r="A12" s="4" t="s">
        <v>18</v>
      </c>
      <c r="B12">
        <v>5064546</v>
      </c>
      <c r="C12">
        <v>-27.4</v>
      </c>
    </row>
    <row r="13" spans="1:3" x14ac:dyDescent="0.3">
      <c r="A13" s="4" t="s">
        <v>14</v>
      </c>
      <c r="B13">
        <v>4630520</v>
      </c>
      <c r="C13">
        <v>28.6</v>
      </c>
    </row>
    <row r="14" spans="1:3" x14ac:dyDescent="0.3">
      <c r="A14" s="4" t="s">
        <v>58</v>
      </c>
      <c r="B14">
        <v>4320081</v>
      </c>
      <c r="C14">
        <v>18</v>
      </c>
    </row>
    <row r="15" spans="1:3" x14ac:dyDescent="0.3">
      <c r="A15" s="4" t="s">
        <v>48</v>
      </c>
      <c r="B15">
        <v>4170036</v>
      </c>
      <c r="C15">
        <v>31.3</v>
      </c>
    </row>
    <row r="16" spans="1:3" x14ac:dyDescent="0.3">
      <c r="A16" s="4" t="s">
        <v>36</v>
      </c>
      <c r="B16">
        <v>3833993</v>
      </c>
      <c r="C16">
        <v>2.2999999999999998</v>
      </c>
    </row>
    <row r="17" spans="1:3" x14ac:dyDescent="0.3">
      <c r="A17" s="4" t="s">
        <v>40</v>
      </c>
      <c r="B17">
        <v>3810993</v>
      </c>
      <c r="C17">
        <v>34.4</v>
      </c>
    </row>
    <row r="18" spans="1:3" x14ac:dyDescent="0.3">
      <c r="A18" s="4" t="s">
        <v>42</v>
      </c>
      <c r="B18">
        <v>3792370</v>
      </c>
      <c r="C18">
        <v>21.3</v>
      </c>
    </row>
    <row r="19" spans="1:3" x14ac:dyDescent="0.3">
      <c r="A19" s="4" t="s">
        <v>34</v>
      </c>
      <c r="B19">
        <v>3500673</v>
      </c>
      <c r="C19">
        <v>16.399999999999999</v>
      </c>
    </row>
    <row r="20" spans="1:3" x14ac:dyDescent="0.3">
      <c r="A20" s="4" t="s">
        <v>38</v>
      </c>
      <c r="B20">
        <v>2926074</v>
      </c>
      <c r="C20">
        <v>22.1</v>
      </c>
    </row>
    <row r="21" spans="1:3" x14ac:dyDescent="0.3">
      <c r="A21" s="4" t="s">
        <v>62</v>
      </c>
      <c r="B21">
        <v>2923851</v>
      </c>
      <c r="C21">
        <v>13.8</v>
      </c>
    </row>
    <row r="22" spans="1:3" x14ac:dyDescent="0.3">
      <c r="A22" s="4" t="s">
        <v>32</v>
      </c>
      <c r="B22">
        <v>2822826</v>
      </c>
      <c r="C22">
        <v>8.1</v>
      </c>
    </row>
    <row r="23" spans="1:3" x14ac:dyDescent="0.3">
      <c r="A23" s="4" t="s">
        <v>20</v>
      </c>
      <c r="B23">
        <v>2572469</v>
      </c>
      <c r="C23">
        <v>17</v>
      </c>
    </row>
    <row r="24" spans="1:3" x14ac:dyDescent="0.3">
      <c r="A24" s="4" t="s">
        <v>52</v>
      </c>
      <c r="B24">
        <v>2184652</v>
      </c>
      <c r="C24">
        <v>0</v>
      </c>
    </row>
    <row r="25" spans="1:3" x14ac:dyDescent="0.3">
      <c r="A25" s="4" t="s">
        <v>46</v>
      </c>
      <c r="B25">
        <v>2098398</v>
      </c>
      <c r="C25">
        <v>18.2</v>
      </c>
    </row>
    <row r="26" spans="1:3" x14ac:dyDescent="0.3">
      <c r="A26" s="4" t="s">
        <v>44</v>
      </c>
      <c r="B26">
        <v>2033129</v>
      </c>
      <c r="C26">
        <v>51</v>
      </c>
    </row>
    <row r="27" spans="1:3" x14ac:dyDescent="0.3">
      <c r="A27" s="4" t="s">
        <v>80</v>
      </c>
      <c r="B27">
        <v>1864185</v>
      </c>
      <c r="C27">
        <v>13.4</v>
      </c>
    </row>
    <row r="28" spans="1:3" x14ac:dyDescent="0.3">
      <c r="A28" s="4" t="s">
        <v>68</v>
      </c>
      <c r="B28">
        <v>1805517</v>
      </c>
      <c r="C28">
        <v>101.1</v>
      </c>
    </row>
    <row r="29" spans="1:3" x14ac:dyDescent="0.3">
      <c r="A29" s="4" t="s">
        <v>84</v>
      </c>
      <c r="B29">
        <v>1456703</v>
      </c>
      <c r="C29">
        <v>1.8</v>
      </c>
    </row>
    <row r="30" spans="1:3" x14ac:dyDescent="0.3">
      <c r="A30" s="4" t="s">
        <v>78</v>
      </c>
      <c r="B30">
        <v>1375627</v>
      </c>
      <c r="C30">
        <v>-17.399999999999999</v>
      </c>
    </row>
    <row r="31" spans="1:3" x14ac:dyDescent="0.3">
      <c r="A31" s="4" t="s">
        <v>88</v>
      </c>
      <c r="B31">
        <v>1335045</v>
      </c>
      <c r="C31">
        <v>-100</v>
      </c>
    </row>
    <row r="32" spans="1:3" x14ac:dyDescent="0.3">
      <c r="A32" s="4" t="s">
        <v>64</v>
      </c>
      <c r="B32">
        <v>1290162</v>
      </c>
      <c r="C32">
        <v>-7.8</v>
      </c>
    </row>
    <row r="33" spans="1:3" x14ac:dyDescent="0.3">
      <c r="A33" s="4" t="s">
        <v>54</v>
      </c>
      <c r="B33">
        <v>1134913</v>
      </c>
      <c r="C33">
        <v>0</v>
      </c>
    </row>
    <row r="34" spans="1:3" x14ac:dyDescent="0.3">
      <c r="A34" s="4" t="s">
        <v>82</v>
      </c>
      <c r="B34">
        <v>1134111</v>
      </c>
      <c r="C34">
        <v>0</v>
      </c>
    </row>
    <row r="35" spans="1:3" x14ac:dyDescent="0.3">
      <c r="A35" s="4" t="s">
        <v>76</v>
      </c>
      <c r="B35">
        <v>962203</v>
      </c>
      <c r="C35">
        <v>-18.100000000000001</v>
      </c>
    </row>
    <row r="36" spans="1:3" x14ac:dyDescent="0.3">
      <c r="A36" s="4" t="s">
        <v>72</v>
      </c>
      <c r="B36">
        <v>895979</v>
      </c>
      <c r="C36">
        <v>-19.399999999999999</v>
      </c>
    </row>
    <row r="37" spans="1:3" x14ac:dyDescent="0.3">
      <c r="A37" s="4" t="s">
        <v>98</v>
      </c>
      <c r="B37">
        <v>879714</v>
      </c>
      <c r="C37">
        <v>-35.4</v>
      </c>
    </row>
    <row r="38" spans="1:3" x14ac:dyDescent="0.3">
      <c r="A38" s="4" t="s">
        <v>60</v>
      </c>
      <c r="B38">
        <v>768223</v>
      </c>
      <c r="C38">
        <v>24.1</v>
      </c>
    </row>
    <row r="39" spans="1:3" x14ac:dyDescent="0.3">
      <c r="A39" s="4" t="s">
        <v>66</v>
      </c>
      <c r="B39">
        <v>644010</v>
      </c>
      <c r="C39">
        <v>-6.9</v>
      </c>
    </row>
    <row r="40" spans="1:3" x14ac:dyDescent="0.3">
      <c r="A40" s="4" t="s">
        <v>104</v>
      </c>
      <c r="B40">
        <v>576722</v>
      </c>
      <c r="C40">
        <v>-6.7</v>
      </c>
    </row>
    <row r="41" spans="1:3" x14ac:dyDescent="0.3">
      <c r="A41" s="4" t="s">
        <v>50</v>
      </c>
      <c r="B41">
        <v>512863</v>
      </c>
      <c r="C41">
        <v>252.25074864694085</v>
      </c>
    </row>
    <row r="42" spans="1:3" x14ac:dyDescent="0.3">
      <c r="A42" s="4" t="s">
        <v>70</v>
      </c>
      <c r="B42">
        <v>434876</v>
      </c>
      <c r="C42">
        <v>1.4</v>
      </c>
    </row>
    <row r="43" spans="1:3" x14ac:dyDescent="0.3">
      <c r="A43" s="4" t="s">
        <v>86</v>
      </c>
      <c r="B43">
        <v>415970</v>
      </c>
      <c r="C43">
        <v>-44</v>
      </c>
    </row>
    <row r="44" spans="1:3" x14ac:dyDescent="0.3">
      <c r="A44" s="4" t="s">
        <v>74</v>
      </c>
      <c r="B44">
        <v>355741</v>
      </c>
      <c r="C44">
        <v>-16.899999999999999</v>
      </c>
    </row>
    <row r="45" spans="1:3" x14ac:dyDescent="0.3">
      <c r="A45" s="4" t="s">
        <v>56</v>
      </c>
      <c r="B45">
        <v>324518</v>
      </c>
      <c r="C45">
        <v>0</v>
      </c>
    </row>
    <row r="46" spans="1:3" x14ac:dyDescent="0.3">
      <c r="A46" s="4" t="s">
        <v>112</v>
      </c>
      <c r="B46">
        <v>268046</v>
      </c>
      <c r="C46">
        <v>0</v>
      </c>
    </row>
    <row r="47" spans="1:3" x14ac:dyDescent="0.3">
      <c r="A47" s="4" t="s">
        <v>96</v>
      </c>
      <c r="B47">
        <v>178114</v>
      </c>
      <c r="C47">
        <v>3.4</v>
      </c>
    </row>
    <row r="48" spans="1:3" x14ac:dyDescent="0.3">
      <c r="A48" s="4" t="s">
        <v>92</v>
      </c>
      <c r="B48">
        <v>145972</v>
      </c>
      <c r="C48">
        <v>6.2</v>
      </c>
    </row>
    <row r="49" spans="1:3" x14ac:dyDescent="0.3">
      <c r="A49" s="4" t="s">
        <v>106</v>
      </c>
      <c r="B49">
        <v>102006</v>
      </c>
      <c r="C49">
        <v>-10</v>
      </c>
    </row>
    <row r="50" spans="1:3" x14ac:dyDescent="0.3">
      <c r="A50" s="4" t="s">
        <v>124</v>
      </c>
      <c r="B50">
        <v>99646</v>
      </c>
      <c r="C50">
        <v>0</v>
      </c>
    </row>
    <row r="51" spans="1:3" x14ac:dyDescent="0.3">
      <c r="A51" s="4" t="s">
        <v>94</v>
      </c>
      <c r="B51">
        <v>74182</v>
      </c>
      <c r="C51">
        <v>-28.6</v>
      </c>
    </row>
    <row r="52" spans="1:3" x14ac:dyDescent="0.3">
      <c r="A52" s="4" t="s">
        <v>114</v>
      </c>
      <c r="B52">
        <v>55992</v>
      </c>
      <c r="C52">
        <v>0</v>
      </c>
    </row>
    <row r="53" spans="1:3" x14ac:dyDescent="0.3">
      <c r="A53" s="4" t="s">
        <v>90</v>
      </c>
      <c r="B53">
        <v>52140</v>
      </c>
      <c r="C53">
        <v>89.8</v>
      </c>
    </row>
    <row r="54" spans="1:3" x14ac:dyDescent="0.3">
      <c r="A54" s="4" t="s">
        <v>122</v>
      </c>
      <c r="B54">
        <v>50680</v>
      </c>
      <c r="C54">
        <v>0</v>
      </c>
    </row>
    <row r="55" spans="1:3" x14ac:dyDescent="0.3">
      <c r="A55" s="4" t="s">
        <v>120</v>
      </c>
      <c r="B55">
        <v>48342</v>
      </c>
      <c r="C55">
        <v>0</v>
      </c>
    </row>
    <row r="56" spans="1:3" x14ac:dyDescent="0.3">
      <c r="A56" s="4" t="s">
        <v>108</v>
      </c>
      <c r="B56">
        <v>45839</v>
      </c>
      <c r="C56">
        <v>0</v>
      </c>
    </row>
    <row r="57" spans="1:3" x14ac:dyDescent="0.3">
      <c r="A57" s="4" t="s">
        <v>110</v>
      </c>
      <c r="B57">
        <v>42560</v>
      </c>
      <c r="C57">
        <v>0</v>
      </c>
    </row>
    <row r="58" spans="1:3" x14ac:dyDescent="0.3">
      <c r="A58" s="4" t="s">
        <v>126</v>
      </c>
      <c r="B58">
        <v>30362</v>
      </c>
      <c r="C58">
        <v>0</v>
      </c>
    </row>
    <row r="59" spans="1:3" x14ac:dyDescent="0.3">
      <c r="A59" s="4" t="s">
        <v>118</v>
      </c>
      <c r="B59">
        <v>19822</v>
      </c>
      <c r="C59">
        <v>0</v>
      </c>
    </row>
    <row r="60" spans="1:3" x14ac:dyDescent="0.3">
      <c r="A60" s="4" t="s">
        <v>116</v>
      </c>
      <c r="B60">
        <v>15161</v>
      </c>
      <c r="C60">
        <v>0</v>
      </c>
    </row>
    <row r="61" spans="1:3" x14ac:dyDescent="0.3">
      <c r="A61" s="4" t="s">
        <v>100</v>
      </c>
      <c r="B61">
        <v>0</v>
      </c>
    </row>
    <row r="62" spans="1:3" x14ac:dyDescent="0.3">
      <c r="A62" s="4" t="s">
        <v>102</v>
      </c>
      <c r="B62">
        <v>0</v>
      </c>
    </row>
    <row r="63" spans="1:3" x14ac:dyDescent="0.3">
      <c r="A63" s="4" t="s">
        <v>208</v>
      </c>
      <c r="B63">
        <v>143571953</v>
      </c>
      <c r="C63">
        <v>9.6815920815252774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6"/>
  <sheetViews>
    <sheetView workbookViewId="0">
      <pane ySplit="1" topLeftCell="A2" activePane="bottomLeft" state="frozen"/>
      <selection pane="bottomLeft" activeCell="A2" sqref="A2:I46"/>
    </sheetView>
  </sheetViews>
  <sheetFormatPr defaultRowHeight="14.4" x14ac:dyDescent="0.3"/>
  <cols>
    <col min="1" max="1" width="6.88671875" customWidth="1"/>
    <col min="2" max="2" width="59" bestFit="1" customWidth="1"/>
    <col min="3" max="7" width="9.44140625" bestFit="1" customWidth="1"/>
    <col min="8" max="8" width="9.6640625" bestFit="1" customWidth="1"/>
    <col min="9" max="9" width="13.109375" bestFit="1" customWidth="1"/>
  </cols>
  <sheetData>
    <row r="1" spans="1:9" x14ac:dyDescent="0.3">
      <c r="A1" s="1" t="s">
        <v>127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128</v>
      </c>
      <c r="C2">
        <v>874023</v>
      </c>
      <c r="D2">
        <v>890566</v>
      </c>
      <c r="E2">
        <v>916815</v>
      </c>
      <c r="F2">
        <v>911940</v>
      </c>
      <c r="G2">
        <v>909624</v>
      </c>
      <c r="H2">
        <v>4502968</v>
      </c>
      <c r="I2">
        <v>4.0999999999999996</v>
      </c>
    </row>
    <row r="3" spans="1:9" x14ac:dyDescent="0.3">
      <c r="A3" t="s">
        <v>11</v>
      </c>
      <c r="B3" t="s">
        <v>12</v>
      </c>
      <c r="C3">
        <v>437446</v>
      </c>
      <c r="D3">
        <v>455428</v>
      </c>
      <c r="E3">
        <v>468845</v>
      </c>
      <c r="F3">
        <v>511515</v>
      </c>
      <c r="G3">
        <v>510391</v>
      </c>
      <c r="H3">
        <v>2383625</v>
      </c>
      <c r="I3">
        <v>16.7</v>
      </c>
    </row>
    <row r="4" spans="1:9" x14ac:dyDescent="0.3">
      <c r="A4" t="s">
        <v>13</v>
      </c>
      <c r="B4" t="s">
        <v>129</v>
      </c>
      <c r="C4">
        <v>273677</v>
      </c>
      <c r="D4">
        <v>271975</v>
      </c>
      <c r="E4">
        <v>302175</v>
      </c>
      <c r="F4">
        <v>333543</v>
      </c>
      <c r="G4">
        <v>336590</v>
      </c>
      <c r="H4">
        <v>1517960</v>
      </c>
      <c r="I4">
        <v>23</v>
      </c>
    </row>
    <row r="5" spans="1:9" x14ac:dyDescent="0.3">
      <c r="A5" t="s">
        <v>15</v>
      </c>
      <c r="B5" t="s">
        <v>16</v>
      </c>
      <c r="C5">
        <v>245899</v>
      </c>
      <c r="D5">
        <v>241016</v>
      </c>
      <c r="E5">
        <v>248935</v>
      </c>
      <c r="F5">
        <v>263181</v>
      </c>
      <c r="G5">
        <v>289638</v>
      </c>
      <c r="H5">
        <v>1288669</v>
      </c>
      <c r="I5">
        <v>17.8</v>
      </c>
    </row>
    <row r="6" spans="1:9" x14ac:dyDescent="0.3">
      <c r="A6" t="s">
        <v>17</v>
      </c>
      <c r="B6" t="s">
        <v>18</v>
      </c>
      <c r="C6">
        <v>391421</v>
      </c>
      <c r="D6">
        <v>390152</v>
      </c>
      <c r="E6">
        <v>395142</v>
      </c>
      <c r="F6">
        <v>406028</v>
      </c>
      <c r="G6">
        <v>395713</v>
      </c>
      <c r="H6">
        <v>1978456</v>
      </c>
      <c r="I6">
        <v>1.1000000000000001</v>
      </c>
    </row>
    <row r="7" spans="1:9" x14ac:dyDescent="0.3">
      <c r="A7" t="s">
        <v>19</v>
      </c>
      <c r="B7" t="s">
        <v>20</v>
      </c>
      <c r="C7">
        <v>251861</v>
      </c>
      <c r="D7">
        <v>257470</v>
      </c>
      <c r="E7">
        <v>294250</v>
      </c>
      <c r="F7">
        <v>299180</v>
      </c>
      <c r="G7">
        <v>302209</v>
      </c>
      <c r="H7">
        <v>1404970</v>
      </c>
      <c r="I7">
        <v>20</v>
      </c>
    </row>
    <row r="8" spans="1:9" x14ac:dyDescent="0.3">
      <c r="A8" t="s">
        <v>21</v>
      </c>
      <c r="B8" t="s">
        <v>22</v>
      </c>
      <c r="C8">
        <v>832691</v>
      </c>
      <c r="D8">
        <v>855604</v>
      </c>
      <c r="E8">
        <v>848065</v>
      </c>
      <c r="F8">
        <v>848158</v>
      </c>
      <c r="G8">
        <v>857712</v>
      </c>
      <c r="H8">
        <v>4242230</v>
      </c>
      <c r="I8">
        <v>3</v>
      </c>
    </row>
    <row r="9" spans="1:9" x14ac:dyDescent="0.3">
      <c r="A9" t="s">
        <v>23</v>
      </c>
      <c r="B9" t="s">
        <v>24</v>
      </c>
      <c r="C9">
        <v>427281</v>
      </c>
      <c r="D9">
        <v>450679</v>
      </c>
      <c r="E9">
        <v>491126</v>
      </c>
      <c r="F9">
        <v>495770</v>
      </c>
      <c r="G9">
        <v>566899</v>
      </c>
      <c r="H9">
        <v>2431755</v>
      </c>
      <c r="I9">
        <v>32.700000000000003</v>
      </c>
    </row>
    <row r="10" spans="1:9" x14ac:dyDescent="0.3">
      <c r="A10" t="s">
        <v>25</v>
      </c>
      <c r="B10" t="s">
        <v>26</v>
      </c>
      <c r="C10">
        <v>432400</v>
      </c>
      <c r="D10">
        <v>471851</v>
      </c>
      <c r="E10">
        <v>481051</v>
      </c>
      <c r="F10">
        <v>511047</v>
      </c>
      <c r="G10">
        <v>550636</v>
      </c>
      <c r="H10">
        <v>2446985</v>
      </c>
      <c r="I10">
        <v>27.3</v>
      </c>
    </row>
    <row r="11" spans="1:9" x14ac:dyDescent="0.3">
      <c r="A11" t="s">
        <v>27</v>
      </c>
      <c r="B11" t="s">
        <v>130</v>
      </c>
      <c r="C11">
        <v>486070</v>
      </c>
      <c r="D11">
        <v>453724</v>
      </c>
      <c r="E11">
        <v>426323</v>
      </c>
      <c r="F11">
        <v>457798</v>
      </c>
      <c r="G11">
        <v>548835</v>
      </c>
      <c r="H11">
        <v>2372750</v>
      </c>
      <c r="I11">
        <v>12.9</v>
      </c>
    </row>
    <row r="12" spans="1:9" x14ac:dyDescent="0.3">
      <c r="A12" t="s">
        <v>29</v>
      </c>
      <c r="B12" t="s">
        <v>131</v>
      </c>
      <c r="C12">
        <v>299238</v>
      </c>
      <c r="D12">
        <v>337805</v>
      </c>
      <c r="E12">
        <v>399908</v>
      </c>
      <c r="F12">
        <v>420680</v>
      </c>
      <c r="G12">
        <v>483911</v>
      </c>
      <c r="H12">
        <v>1941542</v>
      </c>
      <c r="I12">
        <v>61.7</v>
      </c>
    </row>
    <row r="13" spans="1:9" x14ac:dyDescent="0.3">
      <c r="A13" t="s">
        <v>31</v>
      </c>
      <c r="B13" t="s">
        <v>32</v>
      </c>
      <c r="C13">
        <v>272368</v>
      </c>
      <c r="D13">
        <v>293384</v>
      </c>
      <c r="E13">
        <v>311627</v>
      </c>
      <c r="F13">
        <v>314651</v>
      </c>
      <c r="G13">
        <v>332993</v>
      </c>
      <c r="H13">
        <v>1525023</v>
      </c>
      <c r="I13">
        <v>22.3</v>
      </c>
    </row>
    <row r="14" spans="1:9" x14ac:dyDescent="0.3">
      <c r="A14" t="s">
        <v>33</v>
      </c>
      <c r="B14" t="s">
        <v>34</v>
      </c>
      <c r="C14">
        <v>292027</v>
      </c>
      <c r="D14">
        <v>316221</v>
      </c>
      <c r="E14">
        <v>353401</v>
      </c>
      <c r="F14">
        <v>349218</v>
      </c>
      <c r="G14">
        <v>376200</v>
      </c>
      <c r="H14">
        <v>1687067</v>
      </c>
      <c r="I14">
        <v>28.8</v>
      </c>
    </row>
    <row r="15" spans="1:9" x14ac:dyDescent="0.3">
      <c r="A15" t="s">
        <v>35</v>
      </c>
      <c r="B15" t="s">
        <v>36</v>
      </c>
      <c r="C15">
        <v>232910</v>
      </c>
      <c r="D15">
        <v>225618</v>
      </c>
      <c r="E15">
        <v>251901</v>
      </c>
      <c r="F15">
        <v>252984</v>
      </c>
      <c r="G15">
        <v>251253</v>
      </c>
      <c r="H15">
        <v>1214666</v>
      </c>
      <c r="I15">
        <v>7.9</v>
      </c>
    </row>
    <row r="16" spans="1:9" x14ac:dyDescent="0.3">
      <c r="A16" t="s">
        <v>37</v>
      </c>
      <c r="B16" t="s">
        <v>38</v>
      </c>
      <c r="C16">
        <v>253453</v>
      </c>
      <c r="D16">
        <v>297456</v>
      </c>
      <c r="E16">
        <v>327282</v>
      </c>
      <c r="F16">
        <v>323342</v>
      </c>
      <c r="G16">
        <v>342759</v>
      </c>
      <c r="H16">
        <v>1544292</v>
      </c>
      <c r="I16">
        <v>35.200000000000003</v>
      </c>
    </row>
    <row r="17" spans="1:9" x14ac:dyDescent="0.3">
      <c r="A17" t="s">
        <v>39</v>
      </c>
      <c r="B17" t="s">
        <v>40</v>
      </c>
      <c r="C17">
        <v>225746</v>
      </c>
      <c r="D17">
        <v>271492</v>
      </c>
      <c r="E17">
        <v>296361</v>
      </c>
      <c r="F17">
        <v>294585</v>
      </c>
      <c r="G17">
        <v>297663</v>
      </c>
      <c r="H17">
        <v>1385847</v>
      </c>
      <c r="I17">
        <v>31.9</v>
      </c>
    </row>
    <row r="18" spans="1:9" x14ac:dyDescent="0.3">
      <c r="A18" t="s">
        <v>41</v>
      </c>
      <c r="B18" t="s">
        <v>42</v>
      </c>
      <c r="C18">
        <v>262267</v>
      </c>
      <c r="D18">
        <v>292985</v>
      </c>
      <c r="E18">
        <v>290288</v>
      </c>
      <c r="F18">
        <v>323317</v>
      </c>
      <c r="G18">
        <v>364486</v>
      </c>
      <c r="H18">
        <v>1533343</v>
      </c>
      <c r="I18">
        <v>39</v>
      </c>
    </row>
    <row r="19" spans="1:9" x14ac:dyDescent="0.3">
      <c r="A19" t="s">
        <v>43</v>
      </c>
      <c r="B19" t="s">
        <v>44</v>
      </c>
      <c r="C19">
        <v>225313</v>
      </c>
      <c r="D19">
        <v>255445</v>
      </c>
      <c r="E19">
        <v>289245</v>
      </c>
      <c r="F19">
        <v>306861</v>
      </c>
      <c r="G19">
        <v>313494</v>
      </c>
      <c r="H19">
        <v>1390358</v>
      </c>
      <c r="I19">
        <v>39.1</v>
      </c>
    </row>
    <row r="20" spans="1:9" x14ac:dyDescent="0.3">
      <c r="A20" t="s">
        <v>45</v>
      </c>
      <c r="B20" t="s">
        <v>46</v>
      </c>
      <c r="C20">
        <v>86972</v>
      </c>
      <c r="D20">
        <v>136710</v>
      </c>
      <c r="E20">
        <v>181692</v>
      </c>
      <c r="F20">
        <v>208749</v>
      </c>
      <c r="G20">
        <v>236115</v>
      </c>
      <c r="H20">
        <v>850238</v>
      </c>
      <c r="I20">
        <v>171.5</v>
      </c>
    </row>
    <row r="21" spans="1:9" x14ac:dyDescent="0.3">
      <c r="A21" t="s">
        <v>47</v>
      </c>
      <c r="B21" t="s">
        <v>48</v>
      </c>
      <c r="C21">
        <v>153544</v>
      </c>
      <c r="D21">
        <v>173543</v>
      </c>
      <c r="E21">
        <v>223692</v>
      </c>
      <c r="F21">
        <v>253271</v>
      </c>
      <c r="G21">
        <v>297964</v>
      </c>
      <c r="H21">
        <v>1102014</v>
      </c>
      <c r="I21">
        <v>94.1</v>
      </c>
    </row>
    <row r="22" spans="1:9" x14ac:dyDescent="0.3">
      <c r="A22" t="s">
        <v>49</v>
      </c>
      <c r="B22" t="s">
        <v>50</v>
      </c>
      <c r="C22">
        <v>0</v>
      </c>
      <c r="D22">
        <v>53339</v>
      </c>
      <c r="E22">
        <v>91243</v>
      </c>
      <c r="F22">
        <v>95156</v>
      </c>
      <c r="G22">
        <v>89224</v>
      </c>
      <c r="H22">
        <v>328962</v>
      </c>
      <c r="I22">
        <v>0</v>
      </c>
    </row>
    <row r="23" spans="1:9" x14ac:dyDescent="0.3">
      <c r="A23" t="s">
        <v>51</v>
      </c>
      <c r="B23" t="s">
        <v>132</v>
      </c>
      <c r="C23">
        <v>0</v>
      </c>
      <c r="D23">
        <v>0</v>
      </c>
      <c r="E23">
        <v>0</v>
      </c>
      <c r="F23">
        <v>121768</v>
      </c>
      <c r="G23">
        <v>137959</v>
      </c>
      <c r="H23">
        <v>259727</v>
      </c>
      <c r="I23">
        <v>0</v>
      </c>
    </row>
    <row r="24" spans="1:9" x14ac:dyDescent="0.3">
      <c r="A24" t="s">
        <v>53</v>
      </c>
      <c r="B24" t="s">
        <v>54</v>
      </c>
      <c r="C24">
        <v>0</v>
      </c>
      <c r="D24">
        <v>0</v>
      </c>
      <c r="E24">
        <v>0</v>
      </c>
      <c r="F24">
        <v>165400</v>
      </c>
      <c r="G24">
        <v>184485</v>
      </c>
      <c r="H24">
        <v>349885</v>
      </c>
      <c r="I24">
        <v>0</v>
      </c>
    </row>
    <row r="25" spans="1:9" x14ac:dyDescent="0.3">
      <c r="A25" t="s">
        <v>55</v>
      </c>
      <c r="B25" t="s">
        <v>56</v>
      </c>
      <c r="C25">
        <v>0</v>
      </c>
      <c r="D25">
        <v>0</v>
      </c>
      <c r="E25">
        <v>0</v>
      </c>
      <c r="F25">
        <v>0</v>
      </c>
      <c r="G25">
        <v>80838</v>
      </c>
      <c r="H25">
        <v>80838</v>
      </c>
      <c r="I25">
        <v>0</v>
      </c>
    </row>
    <row r="26" spans="1:9" x14ac:dyDescent="0.3">
      <c r="A26" t="s">
        <v>57</v>
      </c>
      <c r="B26" t="s">
        <v>133</v>
      </c>
      <c r="C26">
        <v>181787</v>
      </c>
      <c r="D26">
        <v>240646</v>
      </c>
      <c r="E26">
        <v>174300</v>
      </c>
      <c r="F26">
        <v>195302</v>
      </c>
      <c r="G26">
        <v>192701</v>
      </c>
      <c r="H26">
        <v>984736</v>
      </c>
      <c r="I26">
        <v>6</v>
      </c>
    </row>
    <row r="27" spans="1:9" x14ac:dyDescent="0.3">
      <c r="A27" t="s">
        <v>59</v>
      </c>
      <c r="B27" t="s">
        <v>60</v>
      </c>
      <c r="C27">
        <v>321547</v>
      </c>
      <c r="D27">
        <v>332695</v>
      </c>
      <c r="E27">
        <v>368973</v>
      </c>
      <c r="F27">
        <v>362914</v>
      </c>
      <c r="G27">
        <v>365005</v>
      </c>
      <c r="H27">
        <v>1751134</v>
      </c>
      <c r="I27">
        <v>13.5</v>
      </c>
    </row>
    <row r="28" spans="1:9" x14ac:dyDescent="0.3">
      <c r="A28" t="s">
        <v>61</v>
      </c>
      <c r="B28" t="s">
        <v>62</v>
      </c>
      <c r="C28">
        <v>191557</v>
      </c>
      <c r="D28">
        <v>202092</v>
      </c>
      <c r="E28">
        <v>225782</v>
      </c>
      <c r="F28">
        <v>214249</v>
      </c>
      <c r="G28">
        <v>210611</v>
      </c>
      <c r="H28">
        <v>1044291</v>
      </c>
      <c r="I28">
        <v>9.9</v>
      </c>
    </row>
    <row r="29" spans="1:9" x14ac:dyDescent="0.3">
      <c r="A29" t="s">
        <v>63</v>
      </c>
      <c r="B29" t="s">
        <v>134</v>
      </c>
      <c r="C29">
        <v>72371</v>
      </c>
      <c r="D29">
        <v>65421</v>
      </c>
      <c r="E29">
        <v>57881</v>
      </c>
      <c r="F29">
        <v>61542</v>
      </c>
      <c r="G29">
        <v>55130</v>
      </c>
      <c r="H29">
        <v>312345</v>
      </c>
      <c r="I29">
        <v>-23.8</v>
      </c>
    </row>
    <row r="30" spans="1:9" x14ac:dyDescent="0.3">
      <c r="A30" t="s">
        <v>65</v>
      </c>
      <c r="B30" t="s">
        <v>66</v>
      </c>
      <c r="C30">
        <v>416835</v>
      </c>
      <c r="D30">
        <v>409035</v>
      </c>
      <c r="E30">
        <v>390474</v>
      </c>
      <c r="F30">
        <v>357970</v>
      </c>
      <c r="G30">
        <v>319208</v>
      </c>
      <c r="H30">
        <v>1893522</v>
      </c>
      <c r="I30">
        <v>-23.4</v>
      </c>
    </row>
    <row r="31" spans="1:9" x14ac:dyDescent="0.3">
      <c r="A31" t="s">
        <v>67</v>
      </c>
      <c r="B31" t="s">
        <v>135</v>
      </c>
      <c r="C31">
        <v>190495</v>
      </c>
      <c r="D31">
        <v>191995</v>
      </c>
      <c r="E31">
        <v>257932</v>
      </c>
      <c r="F31">
        <v>242941</v>
      </c>
      <c r="G31">
        <v>256690</v>
      </c>
      <c r="H31">
        <v>1140053</v>
      </c>
      <c r="I31">
        <v>34.700000000000003</v>
      </c>
    </row>
    <row r="32" spans="1:9" x14ac:dyDescent="0.3">
      <c r="A32" t="s">
        <v>69</v>
      </c>
      <c r="B32" t="s">
        <v>70</v>
      </c>
      <c r="C32">
        <v>233452</v>
      </c>
      <c r="D32">
        <v>239657</v>
      </c>
      <c r="E32">
        <v>202129</v>
      </c>
      <c r="F32">
        <v>204232</v>
      </c>
      <c r="G32">
        <v>207637</v>
      </c>
      <c r="H32">
        <v>1087107</v>
      </c>
      <c r="I32">
        <v>-11.1</v>
      </c>
    </row>
    <row r="33" spans="1:9" x14ac:dyDescent="0.3">
      <c r="A33" t="s">
        <v>71</v>
      </c>
      <c r="B33" t="s">
        <v>136</v>
      </c>
      <c r="C33">
        <v>254813</v>
      </c>
      <c r="D33">
        <v>232138</v>
      </c>
      <c r="E33">
        <v>212892</v>
      </c>
      <c r="F33">
        <v>194131</v>
      </c>
      <c r="G33">
        <v>177620</v>
      </c>
      <c r="H33">
        <v>1071594</v>
      </c>
      <c r="I33">
        <v>-30.3</v>
      </c>
    </row>
    <row r="34" spans="1:9" x14ac:dyDescent="0.3">
      <c r="A34" t="s">
        <v>73</v>
      </c>
      <c r="B34" t="s">
        <v>137</v>
      </c>
      <c r="C34">
        <v>41547</v>
      </c>
      <c r="D34">
        <v>38188</v>
      </c>
      <c r="E34">
        <v>38515</v>
      </c>
      <c r="F34">
        <v>35871</v>
      </c>
      <c r="G34">
        <v>35769</v>
      </c>
      <c r="H34">
        <v>189890</v>
      </c>
      <c r="I34">
        <v>-13.9</v>
      </c>
    </row>
    <row r="35" spans="1:9" x14ac:dyDescent="0.3">
      <c r="A35" t="s">
        <v>75</v>
      </c>
      <c r="B35" t="s">
        <v>138</v>
      </c>
      <c r="C35">
        <v>17487</v>
      </c>
      <c r="D35">
        <v>11896</v>
      </c>
      <c r="E35">
        <v>11231</v>
      </c>
      <c r="F35">
        <v>11196</v>
      </c>
      <c r="G35">
        <v>15132</v>
      </c>
      <c r="H35">
        <v>66942</v>
      </c>
      <c r="I35">
        <v>-13.5</v>
      </c>
    </row>
    <row r="36" spans="1:9" x14ac:dyDescent="0.3">
      <c r="A36" t="s">
        <v>77</v>
      </c>
      <c r="B36" t="s">
        <v>139</v>
      </c>
      <c r="C36">
        <v>14852</v>
      </c>
      <c r="D36">
        <v>10888</v>
      </c>
      <c r="E36">
        <v>10748</v>
      </c>
      <c r="F36">
        <v>9196</v>
      </c>
      <c r="G36">
        <v>8679</v>
      </c>
      <c r="H36">
        <v>54363</v>
      </c>
      <c r="I36">
        <v>-41.6</v>
      </c>
    </row>
    <row r="37" spans="1:9" x14ac:dyDescent="0.3">
      <c r="A37" t="s">
        <v>79</v>
      </c>
      <c r="B37" t="s">
        <v>140</v>
      </c>
      <c r="C37">
        <v>0</v>
      </c>
      <c r="D37">
        <v>0</v>
      </c>
      <c r="E37">
        <v>22123</v>
      </c>
      <c r="F37">
        <v>25720</v>
      </c>
      <c r="G37">
        <v>24296</v>
      </c>
      <c r="H37">
        <v>72139</v>
      </c>
      <c r="I37">
        <v>0</v>
      </c>
    </row>
    <row r="38" spans="1:9" x14ac:dyDescent="0.3">
      <c r="A38" t="s">
        <v>81</v>
      </c>
      <c r="B38" t="s">
        <v>141</v>
      </c>
      <c r="C38">
        <v>17268</v>
      </c>
      <c r="D38">
        <v>24289</v>
      </c>
      <c r="E38">
        <v>23449</v>
      </c>
      <c r="F38">
        <v>19238</v>
      </c>
      <c r="G38">
        <v>14947</v>
      </c>
      <c r="H38">
        <v>99191</v>
      </c>
      <c r="I38">
        <v>-13.4</v>
      </c>
    </row>
    <row r="39" spans="1:9" x14ac:dyDescent="0.3">
      <c r="A39" t="s">
        <v>83</v>
      </c>
      <c r="B39" t="s">
        <v>142</v>
      </c>
      <c r="C39">
        <v>28247</v>
      </c>
      <c r="D39">
        <v>26586</v>
      </c>
      <c r="E39">
        <v>21552</v>
      </c>
      <c r="F39">
        <v>13655</v>
      </c>
      <c r="G39">
        <v>11705</v>
      </c>
      <c r="H39">
        <v>101745</v>
      </c>
      <c r="I39">
        <v>-58.6</v>
      </c>
    </row>
    <row r="40" spans="1:9" x14ac:dyDescent="0.3">
      <c r="A40" t="s">
        <v>85</v>
      </c>
      <c r="B40" t="s">
        <v>143</v>
      </c>
      <c r="C40">
        <v>80340</v>
      </c>
      <c r="D40">
        <v>66611</v>
      </c>
      <c r="E40">
        <v>57727</v>
      </c>
      <c r="F40">
        <v>59358</v>
      </c>
      <c r="G40">
        <v>56435</v>
      </c>
      <c r="H40">
        <v>320471</v>
      </c>
      <c r="I40">
        <v>-29.8</v>
      </c>
    </row>
    <row r="41" spans="1:9" x14ac:dyDescent="0.3">
      <c r="A41" t="s">
        <v>87</v>
      </c>
      <c r="B41" t="s">
        <v>144</v>
      </c>
      <c r="C41">
        <v>10936</v>
      </c>
      <c r="D41">
        <v>9347</v>
      </c>
      <c r="E41">
        <v>9496</v>
      </c>
      <c r="F41">
        <v>9272</v>
      </c>
      <c r="G41">
        <v>11396</v>
      </c>
      <c r="H41">
        <v>50447</v>
      </c>
      <c r="I41">
        <v>4.2</v>
      </c>
    </row>
    <row r="42" spans="1:9" x14ac:dyDescent="0.3">
      <c r="A42" t="s">
        <v>89</v>
      </c>
      <c r="B42" t="s">
        <v>98</v>
      </c>
      <c r="C42">
        <v>13643</v>
      </c>
      <c r="D42">
        <v>15728</v>
      </c>
      <c r="E42">
        <v>13644</v>
      </c>
      <c r="F42">
        <v>10851</v>
      </c>
      <c r="G42">
        <v>6284</v>
      </c>
      <c r="H42">
        <v>60150</v>
      </c>
      <c r="I42">
        <v>-53.9</v>
      </c>
    </row>
    <row r="43" spans="1:9" x14ac:dyDescent="0.3">
      <c r="A43" t="s">
        <v>91</v>
      </c>
      <c r="B43" t="s">
        <v>145</v>
      </c>
      <c r="C43">
        <v>49911</v>
      </c>
      <c r="D43">
        <v>44829</v>
      </c>
      <c r="E43">
        <v>42909</v>
      </c>
      <c r="F43">
        <v>44193</v>
      </c>
      <c r="G43">
        <v>47539</v>
      </c>
      <c r="H43">
        <v>229381</v>
      </c>
      <c r="I43">
        <v>-4.8</v>
      </c>
    </row>
    <row r="44" spans="1:9" x14ac:dyDescent="0.3">
      <c r="A44" t="s">
        <v>93</v>
      </c>
      <c r="B44" t="s">
        <v>146</v>
      </c>
      <c r="C44">
        <v>1826</v>
      </c>
      <c r="D44">
        <v>5111</v>
      </c>
      <c r="E44">
        <v>4996</v>
      </c>
      <c r="F44">
        <v>4219</v>
      </c>
      <c r="G44">
        <v>5168</v>
      </c>
      <c r="H44">
        <v>21320</v>
      </c>
      <c r="I44">
        <v>183</v>
      </c>
    </row>
    <row r="45" spans="1:9" x14ac:dyDescent="0.3">
      <c r="A45" t="s">
        <v>95</v>
      </c>
      <c r="B45" t="s">
        <v>147</v>
      </c>
      <c r="C45">
        <v>1041</v>
      </c>
      <c r="D45">
        <v>1636</v>
      </c>
      <c r="E45">
        <v>919</v>
      </c>
      <c r="F45">
        <v>1062</v>
      </c>
      <c r="G45">
        <v>843</v>
      </c>
      <c r="H45">
        <v>5501</v>
      </c>
      <c r="I45">
        <v>-19</v>
      </c>
    </row>
    <row r="46" spans="1:9" x14ac:dyDescent="0.3">
      <c r="A46" t="s">
        <v>97</v>
      </c>
      <c r="B46" t="s">
        <v>148</v>
      </c>
      <c r="C46">
        <v>1951</v>
      </c>
      <c r="D46">
        <v>1831</v>
      </c>
      <c r="E46">
        <v>1537</v>
      </c>
      <c r="F46">
        <v>1412</v>
      </c>
      <c r="G46">
        <v>1474</v>
      </c>
      <c r="H46">
        <v>8205</v>
      </c>
      <c r="I46">
        <v>-24.4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3409D-45E9-4330-934E-E5F4934D76FA}">
  <dimension ref="A3:C49"/>
  <sheetViews>
    <sheetView workbookViewId="0">
      <selection activeCell="H27" sqref="H27"/>
    </sheetView>
  </sheetViews>
  <sheetFormatPr defaultRowHeight="14.4" x14ac:dyDescent="0.3"/>
  <cols>
    <col min="1" max="1" width="59" bestFit="1" customWidth="1"/>
    <col min="2" max="2" width="11.6640625" bestFit="1" customWidth="1"/>
    <col min="3" max="3" width="18.44140625" bestFit="1" customWidth="1"/>
  </cols>
  <sheetData>
    <row r="3" spans="1:3" x14ac:dyDescent="0.3">
      <c r="A3" s="3" t="s">
        <v>207</v>
      </c>
      <c r="B3" t="s">
        <v>209</v>
      </c>
      <c r="C3" t="s">
        <v>210</v>
      </c>
    </row>
    <row r="4" spans="1:3" x14ac:dyDescent="0.3">
      <c r="A4" s="4" t="s">
        <v>128</v>
      </c>
      <c r="B4">
        <v>4502968</v>
      </c>
      <c r="C4">
        <v>4.0999999999999996</v>
      </c>
    </row>
    <row r="5" spans="1:3" x14ac:dyDescent="0.3">
      <c r="A5" s="4" t="s">
        <v>22</v>
      </c>
      <c r="B5">
        <v>4242230</v>
      </c>
      <c r="C5">
        <v>3</v>
      </c>
    </row>
    <row r="6" spans="1:3" x14ac:dyDescent="0.3">
      <c r="A6" s="4" t="s">
        <v>26</v>
      </c>
      <c r="B6">
        <v>2446985</v>
      </c>
      <c r="C6">
        <v>27.3</v>
      </c>
    </row>
    <row r="7" spans="1:3" x14ac:dyDescent="0.3">
      <c r="A7" s="4" t="s">
        <v>24</v>
      </c>
      <c r="B7">
        <v>2431755</v>
      </c>
      <c r="C7">
        <v>32.700000000000003</v>
      </c>
    </row>
    <row r="8" spans="1:3" x14ac:dyDescent="0.3">
      <c r="A8" s="4" t="s">
        <v>12</v>
      </c>
      <c r="B8">
        <v>2383625</v>
      </c>
      <c r="C8">
        <v>16.7</v>
      </c>
    </row>
    <row r="9" spans="1:3" x14ac:dyDescent="0.3">
      <c r="A9" s="4" t="s">
        <v>130</v>
      </c>
      <c r="B9">
        <v>2372750</v>
      </c>
      <c r="C9">
        <v>12.9</v>
      </c>
    </row>
    <row r="10" spans="1:3" x14ac:dyDescent="0.3">
      <c r="A10" s="4" t="s">
        <v>18</v>
      </c>
      <c r="B10">
        <v>1978456</v>
      </c>
      <c r="C10">
        <v>1.1000000000000001</v>
      </c>
    </row>
    <row r="11" spans="1:3" x14ac:dyDescent="0.3">
      <c r="A11" s="4" t="s">
        <v>131</v>
      </c>
      <c r="B11">
        <v>1941542</v>
      </c>
      <c r="C11">
        <v>61.7</v>
      </c>
    </row>
    <row r="12" spans="1:3" x14ac:dyDescent="0.3">
      <c r="A12" s="4" t="s">
        <v>66</v>
      </c>
      <c r="B12">
        <v>1893522</v>
      </c>
      <c r="C12">
        <v>-23.4</v>
      </c>
    </row>
    <row r="13" spans="1:3" x14ac:dyDescent="0.3">
      <c r="A13" s="4" t="s">
        <v>60</v>
      </c>
      <c r="B13">
        <v>1751134</v>
      </c>
      <c r="C13">
        <v>13.5</v>
      </c>
    </row>
    <row r="14" spans="1:3" x14ac:dyDescent="0.3">
      <c r="A14" s="4" t="s">
        <v>34</v>
      </c>
      <c r="B14">
        <v>1687067</v>
      </c>
      <c r="C14">
        <v>28.8</v>
      </c>
    </row>
    <row r="15" spans="1:3" x14ac:dyDescent="0.3">
      <c r="A15" s="4" t="s">
        <v>38</v>
      </c>
      <c r="B15">
        <v>1544292</v>
      </c>
      <c r="C15">
        <v>35.200000000000003</v>
      </c>
    </row>
    <row r="16" spans="1:3" x14ac:dyDescent="0.3">
      <c r="A16" s="4" t="s">
        <v>42</v>
      </c>
      <c r="B16">
        <v>1533343</v>
      </c>
      <c r="C16">
        <v>39</v>
      </c>
    </row>
    <row r="17" spans="1:3" x14ac:dyDescent="0.3">
      <c r="A17" s="4" t="s">
        <v>32</v>
      </c>
      <c r="B17">
        <v>1525023</v>
      </c>
      <c r="C17">
        <v>22.3</v>
      </c>
    </row>
    <row r="18" spans="1:3" x14ac:dyDescent="0.3">
      <c r="A18" s="4" t="s">
        <v>129</v>
      </c>
      <c r="B18">
        <v>1517960</v>
      </c>
      <c r="C18">
        <v>23</v>
      </c>
    </row>
    <row r="19" spans="1:3" x14ac:dyDescent="0.3">
      <c r="A19" s="4" t="s">
        <v>20</v>
      </c>
      <c r="B19">
        <v>1404970</v>
      </c>
      <c r="C19">
        <v>20</v>
      </c>
    </row>
    <row r="20" spans="1:3" x14ac:dyDescent="0.3">
      <c r="A20" s="4" t="s">
        <v>44</v>
      </c>
      <c r="B20">
        <v>1390358</v>
      </c>
      <c r="C20">
        <v>39.1</v>
      </c>
    </row>
    <row r="21" spans="1:3" x14ac:dyDescent="0.3">
      <c r="A21" s="4" t="s">
        <v>40</v>
      </c>
      <c r="B21">
        <v>1385847</v>
      </c>
      <c r="C21">
        <v>31.9</v>
      </c>
    </row>
    <row r="22" spans="1:3" x14ac:dyDescent="0.3">
      <c r="A22" s="4" t="s">
        <v>16</v>
      </c>
      <c r="B22">
        <v>1288669</v>
      </c>
      <c r="C22">
        <v>17.8</v>
      </c>
    </row>
    <row r="23" spans="1:3" x14ac:dyDescent="0.3">
      <c r="A23" s="4" t="s">
        <v>36</v>
      </c>
      <c r="B23">
        <v>1214666</v>
      </c>
      <c r="C23">
        <v>7.9</v>
      </c>
    </row>
    <row r="24" spans="1:3" x14ac:dyDescent="0.3">
      <c r="A24" s="4" t="s">
        <v>135</v>
      </c>
      <c r="B24">
        <v>1140053</v>
      </c>
      <c r="C24">
        <v>34.700000000000003</v>
      </c>
    </row>
    <row r="25" spans="1:3" x14ac:dyDescent="0.3">
      <c r="A25" s="4" t="s">
        <v>48</v>
      </c>
      <c r="B25">
        <v>1102014</v>
      </c>
      <c r="C25">
        <v>94.1</v>
      </c>
    </row>
    <row r="26" spans="1:3" x14ac:dyDescent="0.3">
      <c r="A26" s="4" t="s">
        <v>70</v>
      </c>
      <c r="B26">
        <v>1087107</v>
      </c>
      <c r="C26">
        <v>-11.1</v>
      </c>
    </row>
    <row r="27" spans="1:3" x14ac:dyDescent="0.3">
      <c r="A27" s="4" t="s">
        <v>136</v>
      </c>
      <c r="B27">
        <v>1071594</v>
      </c>
      <c r="C27">
        <v>-30.3</v>
      </c>
    </row>
    <row r="28" spans="1:3" x14ac:dyDescent="0.3">
      <c r="A28" s="4" t="s">
        <v>62</v>
      </c>
      <c r="B28">
        <v>1044291</v>
      </c>
      <c r="C28">
        <v>9.9</v>
      </c>
    </row>
    <row r="29" spans="1:3" x14ac:dyDescent="0.3">
      <c r="A29" s="4" t="s">
        <v>133</v>
      </c>
      <c r="B29">
        <v>984736</v>
      </c>
      <c r="C29">
        <v>6</v>
      </c>
    </row>
    <row r="30" spans="1:3" x14ac:dyDescent="0.3">
      <c r="A30" s="4" t="s">
        <v>46</v>
      </c>
      <c r="B30">
        <v>850238</v>
      </c>
      <c r="C30">
        <v>171.5</v>
      </c>
    </row>
    <row r="31" spans="1:3" x14ac:dyDescent="0.3">
      <c r="A31" s="4" t="s">
        <v>54</v>
      </c>
      <c r="B31">
        <v>349885</v>
      </c>
      <c r="C31">
        <v>0</v>
      </c>
    </row>
    <row r="32" spans="1:3" x14ac:dyDescent="0.3">
      <c r="A32" s="4" t="s">
        <v>50</v>
      </c>
      <c r="B32">
        <v>328962</v>
      </c>
      <c r="C32">
        <v>0</v>
      </c>
    </row>
    <row r="33" spans="1:3" x14ac:dyDescent="0.3">
      <c r="A33" s="4" t="s">
        <v>143</v>
      </c>
      <c r="B33">
        <v>320471</v>
      </c>
      <c r="C33">
        <v>-29.8</v>
      </c>
    </row>
    <row r="34" spans="1:3" x14ac:dyDescent="0.3">
      <c r="A34" s="4" t="s">
        <v>134</v>
      </c>
      <c r="B34">
        <v>312345</v>
      </c>
      <c r="C34">
        <v>-23.8</v>
      </c>
    </row>
    <row r="35" spans="1:3" x14ac:dyDescent="0.3">
      <c r="A35" s="4" t="s">
        <v>132</v>
      </c>
      <c r="B35">
        <v>259727</v>
      </c>
      <c r="C35">
        <v>0</v>
      </c>
    </row>
    <row r="36" spans="1:3" x14ac:dyDescent="0.3">
      <c r="A36" s="4" t="s">
        <v>145</v>
      </c>
      <c r="B36">
        <v>229381</v>
      </c>
      <c r="C36">
        <v>-4.8</v>
      </c>
    </row>
    <row r="37" spans="1:3" x14ac:dyDescent="0.3">
      <c r="A37" s="4" t="s">
        <v>137</v>
      </c>
      <c r="B37">
        <v>189890</v>
      </c>
      <c r="C37">
        <v>-13.9</v>
      </c>
    </row>
    <row r="38" spans="1:3" x14ac:dyDescent="0.3">
      <c r="A38" s="4" t="s">
        <v>142</v>
      </c>
      <c r="B38">
        <v>101745</v>
      </c>
      <c r="C38">
        <v>-58.6</v>
      </c>
    </row>
    <row r="39" spans="1:3" x14ac:dyDescent="0.3">
      <c r="A39" s="4" t="s">
        <v>141</v>
      </c>
      <c r="B39">
        <v>99191</v>
      </c>
      <c r="C39">
        <v>-13.4</v>
      </c>
    </row>
    <row r="40" spans="1:3" x14ac:dyDescent="0.3">
      <c r="A40" s="4" t="s">
        <v>56</v>
      </c>
      <c r="B40">
        <v>80838</v>
      </c>
      <c r="C40">
        <v>0</v>
      </c>
    </row>
    <row r="41" spans="1:3" x14ac:dyDescent="0.3">
      <c r="A41" s="4" t="s">
        <v>140</v>
      </c>
      <c r="B41">
        <v>72139</v>
      </c>
      <c r="C41">
        <v>0</v>
      </c>
    </row>
    <row r="42" spans="1:3" x14ac:dyDescent="0.3">
      <c r="A42" s="4" t="s">
        <v>138</v>
      </c>
      <c r="B42">
        <v>66942</v>
      </c>
      <c r="C42">
        <v>-13.5</v>
      </c>
    </row>
    <row r="43" spans="1:3" x14ac:dyDescent="0.3">
      <c r="A43" s="4" t="s">
        <v>98</v>
      </c>
      <c r="B43">
        <v>60150</v>
      </c>
      <c r="C43">
        <v>-53.9</v>
      </c>
    </row>
    <row r="44" spans="1:3" x14ac:dyDescent="0.3">
      <c r="A44" s="4" t="s">
        <v>139</v>
      </c>
      <c r="B44">
        <v>54363</v>
      </c>
      <c r="C44">
        <v>-41.6</v>
      </c>
    </row>
    <row r="45" spans="1:3" x14ac:dyDescent="0.3">
      <c r="A45" s="4" t="s">
        <v>144</v>
      </c>
      <c r="B45">
        <v>50447</v>
      </c>
      <c r="C45">
        <v>4.2</v>
      </c>
    </row>
    <row r="46" spans="1:3" x14ac:dyDescent="0.3">
      <c r="A46" s="4" t="s">
        <v>146</v>
      </c>
      <c r="B46">
        <v>21320</v>
      </c>
      <c r="C46">
        <v>183</v>
      </c>
    </row>
    <row r="47" spans="1:3" x14ac:dyDescent="0.3">
      <c r="A47" s="4" t="s">
        <v>148</v>
      </c>
      <c r="B47">
        <v>8205</v>
      </c>
      <c r="C47">
        <v>-24.4</v>
      </c>
    </row>
    <row r="48" spans="1:3" x14ac:dyDescent="0.3">
      <c r="A48" s="4" t="s">
        <v>147</v>
      </c>
      <c r="B48">
        <v>5501</v>
      </c>
      <c r="C48">
        <v>-19</v>
      </c>
    </row>
    <row r="49" spans="1:3" x14ac:dyDescent="0.3">
      <c r="A49" s="4" t="s">
        <v>208</v>
      </c>
      <c r="B49">
        <v>50328697</v>
      </c>
      <c r="C49">
        <v>12.886666666666667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2"/>
  <sheetViews>
    <sheetView workbookViewId="0">
      <pane ySplit="1" topLeftCell="A2" activePane="bottomLeft" state="frozen"/>
      <selection pane="bottomLeft" activeCell="A2" sqref="A2:I42"/>
    </sheetView>
  </sheetViews>
  <sheetFormatPr defaultRowHeight="14.4" x14ac:dyDescent="0.3"/>
  <cols>
    <col min="1" max="1" width="6.88671875" customWidth="1"/>
    <col min="2" max="2" width="51.33203125" bestFit="1" customWidth="1"/>
    <col min="3" max="7" width="9.44140625" bestFit="1" customWidth="1"/>
    <col min="8" max="8" width="9.6640625" bestFit="1" customWidth="1"/>
    <col min="9" max="9" width="13.109375" bestFit="1" customWidth="1"/>
  </cols>
  <sheetData>
    <row r="1" spans="1:9" x14ac:dyDescent="0.3">
      <c r="A1" s="1" t="s">
        <v>127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149</v>
      </c>
      <c r="C2">
        <v>45131</v>
      </c>
      <c r="D2">
        <v>42803</v>
      </c>
      <c r="E2">
        <v>37167</v>
      </c>
      <c r="F2">
        <v>42883</v>
      </c>
      <c r="G2">
        <v>46003</v>
      </c>
      <c r="H2">
        <v>213987</v>
      </c>
      <c r="I2">
        <v>1.9</v>
      </c>
    </row>
    <row r="3" spans="1:9" x14ac:dyDescent="0.3">
      <c r="A3" t="s">
        <v>11</v>
      </c>
      <c r="B3" t="s">
        <v>150</v>
      </c>
      <c r="C3">
        <v>48032</v>
      </c>
      <c r="D3">
        <v>46597</v>
      </c>
      <c r="E3">
        <v>55776</v>
      </c>
      <c r="F3">
        <v>47384</v>
      </c>
      <c r="G3">
        <v>57709</v>
      </c>
      <c r="H3">
        <v>255498</v>
      </c>
      <c r="I3">
        <v>20.100000000000001</v>
      </c>
    </row>
    <row r="4" spans="1:9" x14ac:dyDescent="0.3">
      <c r="A4" t="s">
        <v>13</v>
      </c>
      <c r="B4" t="s">
        <v>151</v>
      </c>
      <c r="C4">
        <v>21466</v>
      </c>
      <c r="D4">
        <v>15748</v>
      </c>
      <c r="E4">
        <v>16781</v>
      </c>
      <c r="F4">
        <v>24973</v>
      </c>
      <c r="G4">
        <v>29866</v>
      </c>
      <c r="H4">
        <v>108834</v>
      </c>
      <c r="I4">
        <v>39.1</v>
      </c>
    </row>
    <row r="5" spans="1:9" x14ac:dyDescent="0.3">
      <c r="A5" t="s">
        <v>15</v>
      </c>
      <c r="B5" t="s">
        <v>16</v>
      </c>
      <c r="C5">
        <v>25931</v>
      </c>
      <c r="D5">
        <v>28997</v>
      </c>
      <c r="E5">
        <v>42980</v>
      </c>
      <c r="F5">
        <v>58118</v>
      </c>
      <c r="G5">
        <v>62528</v>
      </c>
      <c r="H5">
        <v>218554</v>
      </c>
      <c r="I5">
        <v>141.1</v>
      </c>
    </row>
    <row r="6" spans="1:9" x14ac:dyDescent="0.3">
      <c r="A6" t="s">
        <v>17</v>
      </c>
      <c r="B6" t="s">
        <v>18</v>
      </c>
      <c r="C6">
        <v>12694</v>
      </c>
      <c r="D6">
        <v>11575</v>
      </c>
      <c r="E6">
        <v>12096</v>
      </c>
      <c r="F6">
        <v>12827</v>
      </c>
      <c r="G6">
        <v>12022</v>
      </c>
      <c r="H6">
        <v>61214</v>
      </c>
      <c r="I6">
        <v>-5.3</v>
      </c>
    </row>
    <row r="7" spans="1:9" x14ac:dyDescent="0.3">
      <c r="A7" t="s">
        <v>19</v>
      </c>
      <c r="B7" t="s">
        <v>152</v>
      </c>
      <c r="C7">
        <v>19828</v>
      </c>
      <c r="D7">
        <v>20741</v>
      </c>
      <c r="E7">
        <v>24006</v>
      </c>
      <c r="F7">
        <v>23707</v>
      </c>
      <c r="G7">
        <v>22909</v>
      </c>
      <c r="H7">
        <v>111191</v>
      </c>
      <c r="I7">
        <v>15.5</v>
      </c>
    </row>
    <row r="8" spans="1:9" x14ac:dyDescent="0.3">
      <c r="A8" t="s">
        <v>21</v>
      </c>
      <c r="B8" t="s">
        <v>22</v>
      </c>
      <c r="C8">
        <v>65667</v>
      </c>
      <c r="D8">
        <v>65393</v>
      </c>
      <c r="E8">
        <v>70621</v>
      </c>
      <c r="F8">
        <v>61907</v>
      </c>
      <c r="G8">
        <v>62135</v>
      </c>
      <c r="H8">
        <v>325723</v>
      </c>
      <c r="I8">
        <v>-5.4</v>
      </c>
    </row>
    <row r="9" spans="1:9" x14ac:dyDescent="0.3">
      <c r="A9" t="s">
        <v>23</v>
      </c>
      <c r="B9" t="s">
        <v>24</v>
      </c>
      <c r="C9">
        <v>23536</v>
      </c>
      <c r="D9">
        <v>26509</v>
      </c>
      <c r="E9">
        <v>40076</v>
      </c>
      <c r="F9">
        <v>54265</v>
      </c>
      <c r="G9">
        <v>65757</v>
      </c>
      <c r="H9">
        <v>210143</v>
      </c>
      <c r="I9">
        <v>179.4</v>
      </c>
    </row>
    <row r="10" spans="1:9" x14ac:dyDescent="0.3">
      <c r="A10" t="s">
        <v>25</v>
      </c>
      <c r="B10" t="s">
        <v>26</v>
      </c>
      <c r="C10">
        <v>19537</v>
      </c>
      <c r="D10">
        <v>18516</v>
      </c>
      <c r="E10">
        <v>18243</v>
      </c>
      <c r="F10">
        <v>19148</v>
      </c>
      <c r="G10">
        <v>21305</v>
      </c>
      <c r="H10">
        <v>96749</v>
      </c>
      <c r="I10">
        <v>9</v>
      </c>
    </row>
    <row r="11" spans="1:9" x14ac:dyDescent="0.3">
      <c r="A11" t="s">
        <v>27</v>
      </c>
      <c r="B11" t="s">
        <v>153</v>
      </c>
      <c r="C11">
        <v>45582</v>
      </c>
      <c r="D11">
        <v>37664</v>
      </c>
      <c r="E11">
        <v>31343</v>
      </c>
      <c r="F11">
        <v>24970</v>
      </c>
      <c r="G11">
        <v>32009</v>
      </c>
      <c r="H11">
        <v>171568</v>
      </c>
      <c r="I11">
        <v>-29.8</v>
      </c>
    </row>
    <row r="12" spans="1:9" x14ac:dyDescent="0.3">
      <c r="A12" t="s">
        <v>29</v>
      </c>
      <c r="B12" t="s">
        <v>154</v>
      </c>
      <c r="C12">
        <v>20721</v>
      </c>
      <c r="D12">
        <v>21629</v>
      </c>
      <c r="E12">
        <v>25971</v>
      </c>
      <c r="F12">
        <v>29484</v>
      </c>
      <c r="G12">
        <v>30148</v>
      </c>
      <c r="H12">
        <v>127953</v>
      </c>
      <c r="I12">
        <v>45.5</v>
      </c>
    </row>
    <row r="13" spans="1:9" x14ac:dyDescent="0.3">
      <c r="A13" t="s">
        <v>31</v>
      </c>
      <c r="B13" t="s">
        <v>155</v>
      </c>
      <c r="C13">
        <v>16317</v>
      </c>
      <c r="D13">
        <v>20558</v>
      </c>
      <c r="E13">
        <v>30557</v>
      </c>
      <c r="F13">
        <v>33686</v>
      </c>
      <c r="G13">
        <v>29240</v>
      </c>
      <c r="H13">
        <v>130358</v>
      </c>
      <c r="I13">
        <v>79.2</v>
      </c>
    </row>
    <row r="14" spans="1:9" x14ac:dyDescent="0.3">
      <c r="A14" t="s">
        <v>33</v>
      </c>
      <c r="B14" t="s">
        <v>156</v>
      </c>
      <c r="C14">
        <v>15665</v>
      </c>
      <c r="D14">
        <v>16429</v>
      </c>
      <c r="E14">
        <v>16103</v>
      </c>
      <c r="F14">
        <v>16694</v>
      </c>
      <c r="G14">
        <v>18146</v>
      </c>
      <c r="H14">
        <v>83037</v>
      </c>
      <c r="I14">
        <v>15.8</v>
      </c>
    </row>
    <row r="15" spans="1:9" x14ac:dyDescent="0.3">
      <c r="A15" t="s">
        <v>35</v>
      </c>
      <c r="B15" t="s">
        <v>157</v>
      </c>
      <c r="C15">
        <v>29808</v>
      </c>
      <c r="D15">
        <v>40823</v>
      </c>
      <c r="E15">
        <v>80242</v>
      </c>
      <c r="F15">
        <v>82006</v>
      </c>
      <c r="G15">
        <v>76023</v>
      </c>
      <c r="H15">
        <v>308902</v>
      </c>
      <c r="I15">
        <v>155</v>
      </c>
    </row>
    <row r="16" spans="1:9" x14ac:dyDescent="0.3">
      <c r="A16" t="s">
        <v>37</v>
      </c>
      <c r="B16" t="s">
        <v>158</v>
      </c>
      <c r="C16">
        <v>9127</v>
      </c>
      <c r="D16">
        <v>9834</v>
      </c>
      <c r="E16">
        <v>19855</v>
      </c>
      <c r="F16">
        <v>27134</v>
      </c>
      <c r="G16">
        <v>21821</v>
      </c>
      <c r="H16">
        <v>87771</v>
      </c>
      <c r="I16">
        <v>139.1</v>
      </c>
    </row>
    <row r="17" spans="1:9" x14ac:dyDescent="0.3">
      <c r="A17" t="s">
        <v>39</v>
      </c>
      <c r="B17" t="s">
        <v>159</v>
      </c>
      <c r="C17">
        <v>23541</v>
      </c>
      <c r="D17">
        <v>59776</v>
      </c>
      <c r="E17">
        <v>65659</v>
      </c>
      <c r="F17">
        <v>65593</v>
      </c>
      <c r="G17">
        <v>45904</v>
      </c>
      <c r="H17">
        <v>260473</v>
      </c>
      <c r="I17">
        <v>95</v>
      </c>
    </row>
    <row r="18" spans="1:9" x14ac:dyDescent="0.3">
      <c r="A18" t="s">
        <v>41</v>
      </c>
      <c r="B18" t="s">
        <v>160</v>
      </c>
      <c r="C18">
        <v>14566</v>
      </c>
      <c r="D18">
        <v>17435</v>
      </c>
      <c r="E18">
        <v>18604</v>
      </c>
      <c r="F18">
        <v>22971</v>
      </c>
      <c r="G18">
        <v>22785</v>
      </c>
      <c r="H18">
        <v>96361</v>
      </c>
      <c r="I18">
        <v>56.4</v>
      </c>
    </row>
    <row r="19" spans="1:9" x14ac:dyDescent="0.3">
      <c r="A19" t="s">
        <v>43</v>
      </c>
      <c r="B19" t="s">
        <v>161</v>
      </c>
      <c r="C19">
        <v>6069</v>
      </c>
      <c r="D19">
        <v>7640</v>
      </c>
      <c r="E19">
        <v>12496</v>
      </c>
      <c r="F19">
        <v>20670</v>
      </c>
      <c r="G19">
        <v>21543</v>
      </c>
      <c r="H19">
        <v>68418</v>
      </c>
      <c r="I19">
        <v>255</v>
      </c>
    </row>
    <row r="20" spans="1:9" x14ac:dyDescent="0.3">
      <c r="A20" t="s">
        <v>45</v>
      </c>
      <c r="B20" t="s">
        <v>46</v>
      </c>
      <c r="C20">
        <v>4231</v>
      </c>
      <c r="D20">
        <v>8310</v>
      </c>
      <c r="E20">
        <v>13528</v>
      </c>
      <c r="F20">
        <v>11632</v>
      </c>
      <c r="G20">
        <v>13842</v>
      </c>
      <c r="H20">
        <v>51543</v>
      </c>
      <c r="I20">
        <v>227.2</v>
      </c>
    </row>
    <row r="21" spans="1:9" x14ac:dyDescent="0.3">
      <c r="A21" t="s">
        <v>47</v>
      </c>
      <c r="B21" t="s">
        <v>162</v>
      </c>
      <c r="C21">
        <v>9167</v>
      </c>
      <c r="D21">
        <v>24887</v>
      </c>
      <c r="E21">
        <v>15194</v>
      </c>
      <c r="F21">
        <v>17093</v>
      </c>
      <c r="G21">
        <v>18802</v>
      </c>
      <c r="H21">
        <v>85143</v>
      </c>
      <c r="I21">
        <v>105.1</v>
      </c>
    </row>
    <row r="22" spans="1:9" x14ac:dyDescent="0.3">
      <c r="A22" t="s">
        <v>49</v>
      </c>
      <c r="B22" t="s">
        <v>163</v>
      </c>
      <c r="C22">
        <v>0</v>
      </c>
      <c r="D22">
        <v>2492</v>
      </c>
      <c r="E22">
        <v>5117</v>
      </c>
      <c r="F22">
        <v>5661</v>
      </c>
      <c r="G22">
        <v>5800</v>
      </c>
      <c r="H22">
        <v>19070</v>
      </c>
      <c r="I22">
        <v>0</v>
      </c>
    </row>
    <row r="23" spans="1:9" x14ac:dyDescent="0.3">
      <c r="A23" t="s">
        <v>51</v>
      </c>
      <c r="B23" t="s">
        <v>164</v>
      </c>
      <c r="C23">
        <v>0</v>
      </c>
      <c r="D23">
        <v>0</v>
      </c>
      <c r="E23">
        <v>0</v>
      </c>
      <c r="F23">
        <v>10867</v>
      </c>
      <c r="G23">
        <v>12192</v>
      </c>
      <c r="H23">
        <v>23059</v>
      </c>
      <c r="I23">
        <v>0</v>
      </c>
    </row>
    <row r="24" spans="1:9" x14ac:dyDescent="0.3">
      <c r="A24" t="s">
        <v>53</v>
      </c>
      <c r="B24" t="s">
        <v>165</v>
      </c>
      <c r="C24">
        <v>0</v>
      </c>
      <c r="D24">
        <v>0</v>
      </c>
      <c r="E24">
        <v>0</v>
      </c>
      <c r="F24">
        <v>8241</v>
      </c>
      <c r="G24">
        <v>8713</v>
      </c>
      <c r="H24">
        <v>16954</v>
      </c>
      <c r="I24">
        <v>0</v>
      </c>
    </row>
    <row r="25" spans="1:9" x14ac:dyDescent="0.3">
      <c r="A25" t="s">
        <v>55</v>
      </c>
      <c r="B25" t="s">
        <v>166</v>
      </c>
      <c r="C25">
        <v>0</v>
      </c>
      <c r="D25">
        <v>0</v>
      </c>
      <c r="E25">
        <v>0</v>
      </c>
      <c r="F25">
        <v>0</v>
      </c>
      <c r="G25">
        <v>4012</v>
      </c>
      <c r="H25">
        <v>4012</v>
      </c>
      <c r="I25">
        <v>0</v>
      </c>
    </row>
    <row r="26" spans="1:9" x14ac:dyDescent="0.3">
      <c r="A26" t="s">
        <v>57</v>
      </c>
      <c r="B26" t="s">
        <v>167</v>
      </c>
      <c r="C26">
        <v>22946</v>
      </c>
      <c r="D26">
        <v>23341</v>
      </c>
      <c r="E26">
        <v>23500</v>
      </c>
      <c r="F26">
        <v>23787</v>
      </c>
      <c r="G26">
        <v>23987</v>
      </c>
      <c r="H26">
        <v>117561</v>
      </c>
      <c r="I26">
        <v>4.5</v>
      </c>
    </row>
    <row r="27" spans="1:9" x14ac:dyDescent="0.3">
      <c r="A27" t="s">
        <v>59</v>
      </c>
      <c r="B27" t="s">
        <v>168</v>
      </c>
      <c r="C27">
        <v>21017</v>
      </c>
      <c r="D27">
        <v>20889</v>
      </c>
      <c r="E27">
        <v>22428</v>
      </c>
      <c r="F27">
        <v>23373</v>
      </c>
      <c r="G27">
        <v>22907</v>
      </c>
      <c r="H27">
        <v>110614</v>
      </c>
      <c r="I27">
        <v>9</v>
      </c>
    </row>
    <row r="28" spans="1:9" x14ac:dyDescent="0.3">
      <c r="A28" t="s">
        <v>61</v>
      </c>
      <c r="B28" t="s">
        <v>169</v>
      </c>
      <c r="C28">
        <v>15259</v>
      </c>
      <c r="D28">
        <v>17032</v>
      </c>
      <c r="E28">
        <v>16611</v>
      </c>
      <c r="F28">
        <v>14980</v>
      </c>
      <c r="G28">
        <v>12918</v>
      </c>
      <c r="H28">
        <v>76800</v>
      </c>
      <c r="I28">
        <v>-15.3</v>
      </c>
    </row>
    <row r="29" spans="1:9" x14ac:dyDescent="0.3">
      <c r="A29" t="s">
        <v>63</v>
      </c>
      <c r="B29" t="s">
        <v>170</v>
      </c>
      <c r="C29">
        <v>25389</v>
      </c>
      <c r="D29">
        <v>25208</v>
      </c>
      <c r="E29">
        <v>23526</v>
      </c>
      <c r="F29">
        <v>31046</v>
      </c>
      <c r="G29">
        <v>35539</v>
      </c>
      <c r="H29">
        <v>140708</v>
      </c>
      <c r="I29">
        <v>40</v>
      </c>
    </row>
    <row r="30" spans="1:9" x14ac:dyDescent="0.3">
      <c r="A30" t="s">
        <v>65</v>
      </c>
      <c r="B30" t="s">
        <v>171</v>
      </c>
      <c r="C30">
        <v>14177</v>
      </c>
      <c r="D30">
        <v>14016</v>
      </c>
      <c r="E30">
        <v>16311</v>
      </c>
      <c r="F30">
        <v>19897</v>
      </c>
      <c r="G30">
        <v>20628</v>
      </c>
      <c r="H30">
        <v>85029</v>
      </c>
      <c r="I30">
        <v>45.5</v>
      </c>
    </row>
    <row r="31" spans="1:9" x14ac:dyDescent="0.3">
      <c r="A31" t="s">
        <v>67</v>
      </c>
      <c r="B31" t="s">
        <v>172</v>
      </c>
      <c r="C31">
        <v>11284</v>
      </c>
      <c r="D31">
        <v>9836</v>
      </c>
      <c r="E31">
        <v>8474</v>
      </c>
      <c r="F31">
        <v>8171</v>
      </c>
      <c r="G31">
        <v>8016</v>
      </c>
      <c r="H31">
        <v>45781</v>
      </c>
      <c r="I31">
        <v>-29</v>
      </c>
    </row>
    <row r="32" spans="1:9" x14ac:dyDescent="0.3">
      <c r="A32" t="s">
        <v>69</v>
      </c>
      <c r="B32" t="s">
        <v>173</v>
      </c>
      <c r="C32">
        <v>3717</v>
      </c>
      <c r="D32">
        <v>4044</v>
      </c>
      <c r="E32">
        <v>3421</v>
      </c>
      <c r="F32">
        <v>3960</v>
      </c>
      <c r="G32">
        <v>3799</v>
      </c>
      <c r="H32">
        <v>18941</v>
      </c>
      <c r="I32">
        <v>2.2000000000000002</v>
      </c>
    </row>
    <row r="33" spans="1:9" x14ac:dyDescent="0.3">
      <c r="A33" t="s">
        <v>71</v>
      </c>
      <c r="B33" t="s">
        <v>174</v>
      </c>
      <c r="C33">
        <v>365</v>
      </c>
      <c r="D33">
        <v>365</v>
      </c>
      <c r="E33">
        <v>523</v>
      </c>
      <c r="F33">
        <v>461</v>
      </c>
      <c r="G33">
        <v>741</v>
      </c>
      <c r="H33">
        <v>2455</v>
      </c>
      <c r="I33">
        <v>103</v>
      </c>
    </row>
    <row r="34" spans="1:9" x14ac:dyDescent="0.3">
      <c r="A34" t="s">
        <v>73</v>
      </c>
      <c r="B34" t="s">
        <v>138</v>
      </c>
      <c r="C34">
        <v>464</v>
      </c>
      <c r="D34">
        <v>505</v>
      </c>
      <c r="E34">
        <v>531</v>
      </c>
      <c r="F34">
        <v>385</v>
      </c>
      <c r="G34">
        <v>485</v>
      </c>
      <c r="H34">
        <v>2370</v>
      </c>
      <c r="I34">
        <v>4.5</v>
      </c>
    </row>
    <row r="35" spans="1:9" x14ac:dyDescent="0.3">
      <c r="A35" t="s">
        <v>75</v>
      </c>
      <c r="B35" t="s">
        <v>175</v>
      </c>
      <c r="C35">
        <v>111</v>
      </c>
      <c r="D35">
        <v>93</v>
      </c>
      <c r="E35">
        <v>155</v>
      </c>
      <c r="F35">
        <v>106</v>
      </c>
      <c r="G35">
        <v>104</v>
      </c>
      <c r="H35">
        <v>569</v>
      </c>
      <c r="I35">
        <v>-6.3</v>
      </c>
    </row>
    <row r="36" spans="1:9" x14ac:dyDescent="0.3">
      <c r="A36" t="s">
        <v>77</v>
      </c>
      <c r="B36" t="s">
        <v>140</v>
      </c>
      <c r="C36">
        <v>0</v>
      </c>
      <c r="D36">
        <v>0</v>
      </c>
      <c r="E36">
        <v>4786</v>
      </c>
      <c r="F36">
        <v>8213</v>
      </c>
      <c r="G36">
        <v>8506</v>
      </c>
      <c r="H36">
        <v>21505</v>
      </c>
      <c r="I36">
        <v>0</v>
      </c>
    </row>
    <row r="37" spans="1:9" x14ac:dyDescent="0.3">
      <c r="A37" t="s">
        <v>79</v>
      </c>
      <c r="B37" t="s">
        <v>141</v>
      </c>
      <c r="C37">
        <v>212</v>
      </c>
      <c r="D37">
        <v>389</v>
      </c>
      <c r="E37">
        <v>255</v>
      </c>
      <c r="F37">
        <v>400</v>
      </c>
      <c r="G37">
        <v>350</v>
      </c>
      <c r="H37">
        <v>1606</v>
      </c>
      <c r="I37">
        <v>65.099999999999994</v>
      </c>
    </row>
    <row r="38" spans="1:9" x14ac:dyDescent="0.3">
      <c r="A38" t="s">
        <v>81</v>
      </c>
      <c r="B38" t="s">
        <v>176</v>
      </c>
      <c r="C38">
        <v>651</v>
      </c>
      <c r="D38">
        <v>180</v>
      </c>
      <c r="E38">
        <v>79</v>
      </c>
      <c r="F38">
        <v>100</v>
      </c>
      <c r="G38">
        <v>105</v>
      </c>
      <c r="H38">
        <v>1115</v>
      </c>
      <c r="I38">
        <v>-83.9</v>
      </c>
    </row>
    <row r="39" spans="1:9" x14ac:dyDescent="0.3">
      <c r="A39" t="s">
        <v>83</v>
      </c>
      <c r="B39" t="s">
        <v>177</v>
      </c>
      <c r="C39">
        <v>85988</v>
      </c>
      <c r="D39">
        <v>81456</v>
      </c>
      <c r="E39">
        <v>80368</v>
      </c>
      <c r="F39">
        <v>77298</v>
      </c>
      <c r="G39">
        <v>75756</v>
      </c>
      <c r="H39">
        <v>400866</v>
      </c>
      <c r="I39">
        <v>-11.9</v>
      </c>
    </row>
    <row r="40" spans="1:9" x14ac:dyDescent="0.3">
      <c r="A40" t="s">
        <v>85</v>
      </c>
      <c r="B40" t="s">
        <v>178</v>
      </c>
      <c r="C40">
        <v>2071</v>
      </c>
      <c r="D40">
        <v>2011</v>
      </c>
      <c r="E40">
        <v>1799</v>
      </c>
      <c r="F40">
        <v>2455</v>
      </c>
      <c r="G40">
        <v>1908</v>
      </c>
      <c r="H40">
        <v>10244</v>
      </c>
      <c r="I40">
        <v>-7.9</v>
      </c>
    </row>
    <row r="41" spans="1:9" x14ac:dyDescent="0.3">
      <c r="A41" t="s">
        <v>87</v>
      </c>
      <c r="B41" t="s">
        <v>179</v>
      </c>
      <c r="C41">
        <v>144</v>
      </c>
      <c r="D41">
        <v>220</v>
      </c>
      <c r="E41">
        <v>171</v>
      </c>
      <c r="F41">
        <v>126</v>
      </c>
      <c r="G41">
        <v>82</v>
      </c>
      <c r="H41">
        <v>743</v>
      </c>
      <c r="I41">
        <v>-43.1</v>
      </c>
    </row>
    <row r="42" spans="1:9" x14ac:dyDescent="0.3">
      <c r="A42" t="s">
        <v>89</v>
      </c>
      <c r="B42" t="s">
        <v>180</v>
      </c>
      <c r="C42">
        <v>1088</v>
      </c>
      <c r="D42">
        <v>625</v>
      </c>
      <c r="E42">
        <v>0</v>
      </c>
      <c r="F42">
        <v>0</v>
      </c>
      <c r="G42">
        <v>0</v>
      </c>
      <c r="H42">
        <v>1713</v>
      </c>
      <c r="I42">
        <v>-100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DDA02-61C5-4C7B-A977-C4E63931C78B}">
  <dimension ref="A3:C45"/>
  <sheetViews>
    <sheetView workbookViewId="0">
      <selection activeCell="H23" sqref="H23"/>
    </sheetView>
  </sheetViews>
  <sheetFormatPr defaultRowHeight="14.4" x14ac:dyDescent="0.3"/>
  <cols>
    <col min="1" max="1" width="51.33203125" bestFit="1" customWidth="1"/>
    <col min="2" max="2" width="11.6640625" bestFit="1" customWidth="1"/>
    <col min="3" max="3" width="18.44140625" bestFit="1" customWidth="1"/>
  </cols>
  <sheetData>
    <row r="3" spans="1:3" x14ac:dyDescent="0.3">
      <c r="A3" s="3" t="s">
        <v>207</v>
      </c>
      <c r="B3" t="s">
        <v>209</v>
      </c>
      <c r="C3" t="s">
        <v>210</v>
      </c>
    </row>
    <row r="4" spans="1:3" x14ac:dyDescent="0.3">
      <c r="A4" s="4" t="s">
        <v>177</v>
      </c>
      <c r="B4">
        <v>400866</v>
      </c>
      <c r="C4">
        <v>-11.9</v>
      </c>
    </row>
    <row r="5" spans="1:3" x14ac:dyDescent="0.3">
      <c r="A5" s="4" t="s">
        <v>22</v>
      </c>
      <c r="B5">
        <v>325723</v>
      </c>
      <c r="C5">
        <v>-5.4</v>
      </c>
    </row>
    <row r="6" spans="1:3" x14ac:dyDescent="0.3">
      <c r="A6" s="4" t="s">
        <v>157</v>
      </c>
      <c r="B6">
        <v>308902</v>
      </c>
      <c r="C6">
        <v>155</v>
      </c>
    </row>
    <row r="7" spans="1:3" x14ac:dyDescent="0.3">
      <c r="A7" s="4" t="s">
        <v>159</v>
      </c>
      <c r="B7">
        <v>260473</v>
      </c>
      <c r="C7">
        <v>95</v>
      </c>
    </row>
    <row r="8" spans="1:3" x14ac:dyDescent="0.3">
      <c r="A8" s="4" t="s">
        <v>150</v>
      </c>
      <c r="B8">
        <v>255498</v>
      </c>
      <c r="C8">
        <v>20.100000000000001</v>
      </c>
    </row>
    <row r="9" spans="1:3" x14ac:dyDescent="0.3">
      <c r="A9" s="4" t="s">
        <v>16</v>
      </c>
      <c r="B9">
        <v>218554</v>
      </c>
      <c r="C9">
        <v>141.1</v>
      </c>
    </row>
    <row r="10" spans="1:3" x14ac:dyDescent="0.3">
      <c r="A10" s="4" t="s">
        <v>149</v>
      </c>
      <c r="B10">
        <v>213987</v>
      </c>
      <c r="C10">
        <v>1.9</v>
      </c>
    </row>
    <row r="11" spans="1:3" x14ac:dyDescent="0.3">
      <c r="A11" s="4" t="s">
        <v>24</v>
      </c>
      <c r="B11">
        <v>210143</v>
      </c>
      <c r="C11">
        <v>179.4</v>
      </c>
    </row>
    <row r="12" spans="1:3" x14ac:dyDescent="0.3">
      <c r="A12" s="4" t="s">
        <v>153</v>
      </c>
      <c r="B12">
        <v>171568</v>
      </c>
      <c r="C12">
        <v>-29.8</v>
      </c>
    </row>
    <row r="13" spans="1:3" x14ac:dyDescent="0.3">
      <c r="A13" s="4" t="s">
        <v>170</v>
      </c>
      <c r="B13">
        <v>140708</v>
      </c>
      <c r="C13">
        <v>40</v>
      </c>
    </row>
    <row r="14" spans="1:3" x14ac:dyDescent="0.3">
      <c r="A14" s="4" t="s">
        <v>155</v>
      </c>
      <c r="B14">
        <v>130358</v>
      </c>
      <c r="C14">
        <v>79.2</v>
      </c>
    </row>
    <row r="15" spans="1:3" x14ac:dyDescent="0.3">
      <c r="A15" s="4" t="s">
        <v>154</v>
      </c>
      <c r="B15">
        <v>127953</v>
      </c>
      <c r="C15">
        <v>45.5</v>
      </c>
    </row>
    <row r="16" spans="1:3" x14ac:dyDescent="0.3">
      <c r="A16" s="4" t="s">
        <v>167</v>
      </c>
      <c r="B16">
        <v>117561</v>
      </c>
      <c r="C16">
        <v>4.5</v>
      </c>
    </row>
    <row r="17" spans="1:3" x14ac:dyDescent="0.3">
      <c r="A17" s="4" t="s">
        <v>152</v>
      </c>
      <c r="B17">
        <v>111191</v>
      </c>
      <c r="C17">
        <v>15.5</v>
      </c>
    </row>
    <row r="18" spans="1:3" x14ac:dyDescent="0.3">
      <c r="A18" s="4" t="s">
        <v>168</v>
      </c>
      <c r="B18">
        <v>110614</v>
      </c>
      <c r="C18">
        <v>9</v>
      </c>
    </row>
    <row r="19" spans="1:3" x14ac:dyDescent="0.3">
      <c r="A19" s="4" t="s">
        <v>151</v>
      </c>
      <c r="B19">
        <v>108834</v>
      </c>
      <c r="C19">
        <v>39.1</v>
      </c>
    </row>
    <row r="20" spans="1:3" x14ac:dyDescent="0.3">
      <c r="A20" s="4" t="s">
        <v>26</v>
      </c>
      <c r="B20">
        <v>96749</v>
      </c>
      <c r="C20">
        <v>9</v>
      </c>
    </row>
    <row r="21" spans="1:3" x14ac:dyDescent="0.3">
      <c r="A21" s="4" t="s">
        <v>160</v>
      </c>
      <c r="B21">
        <v>96361</v>
      </c>
      <c r="C21">
        <v>56.4</v>
      </c>
    </row>
    <row r="22" spans="1:3" x14ac:dyDescent="0.3">
      <c r="A22" s="4" t="s">
        <v>158</v>
      </c>
      <c r="B22">
        <v>87771</v>
      </c>
      <c r="C22">
        <v>139.1</v>
      </c>
    </row>
    <row r="23" spans="1:3" x14ac:dyDescent="0.3">
      <c r="A23" s="4" t="s">
        <v>162</v>
      </c>
      <c r="B23">
        <v>85143</v>
      </c>
      <c r="C23">
        <v>105.1</v>
      </c>
    </row>
    <row r="24" spans="1:3" x14ac:dyDescent="0.3">
      <c r="A24" s="4" t="s">
        <v>171</v>
      </c>
      <c r="B24">
        <v>85029</v>
      </c>
      <c r="C24">
        <v>45.5</v>
      </c>
    </row>
    <row r="25" spans="1:3" x14ac:dyDescent="0.3">
      <c r="A25" s="4" t="s">
        <v>156</v>
      </c>
      <c r="B25">
        <v>83037</v>
      </c>
      <c r="C25">
        <v>15.8</v>
      </c>
    </row>
    <row r="26" spans="1:3" x14ac:dyDescent="0.3">
      <c r="A26" s="4" t="s">
        <v>169</v>
      </c>
      <c r="B26">
        <v>76800</v>
      </c>
      <c r="C26">
        <v>-15.3</v>
      </c>
    </row>
    <row r="27" spans="1:3" x14ac:dyDescent="0.3">
      <c r="A27" s="4" t="s">
        <v>161</v>
      </c>
      <c r="B27">
        <v>68418</v>
      </c>
      <c r="C27">
        <v>255</v>
      </c>
    </row>
    <row r="28" spans="1:3" x14ac:dyDescent="0.3">
      <c r="A28" s="4" t="s">
        <v>18</v>
      </c>
      <c r="B28">
        <v>61214</v>
      </c>
      <c r="C28">
        <v>-5.3</v>
      </c>
    </row>
    <row r="29" spans="1:3" x14ac:dyDescent="0.3">
      <c r="A29" s="4" t="s">
        <v>46</v>
      </c>
      <c r="B29">
        <v>51543</v>
      </c>
      <c r="C29">
        <v>227.2</v>
      </c>
    </row>
    <row r="30" spans="1:3" x14ac:dyDescent="0.3">
      <c r="A30" s="4" t="s">
        <v>172</v>
      </c>
      <c r="B30">
        <v>45781</v>
      </c>
      <c r="C30">
        <v>-29</v>
      </c>
    </row>
    <row r="31" spans="1:3" x14ac:dyDescent="0.3">
      <c r="A31" s="4" t="s">
        <v>164</v>
      </c>
      <c r="B31">
        <v>23059</v>
      </c>
      <c r="C31">
        <v>0</v>
      </c>
    </row>
    <row r="32" spans="1:3" x14ac:dyDescent="0.3">
      <c r="A32" s="4" t="s">
        <v>140</v>
      </c>
      <c r="B32">
        <v>21505</v>
      </c>
      <c r="C32">
        <v>0</v>
      </c>
    </row>
    <row r="33" spans="1:3" x14ac:dyDescent="0.3">
      <c r="A33" s="4" t="s">
        <v>163</v>
      </c>
      <c r="B33">
        <v>19070</v>
      </c>
      <c r="C33">
        <v>0</v>
      </c>
    </row>
    <row r="34" spans="1:3" x14ac:dyDescent="0.3">
      <c r="A34" s="4" t="s">
        <v>173</v>
      </c>
      <c r="B34">
        <v>18941</v>
      </c>
      <c r="C34">
        <v>2.2000000000000002</v>
      </c>
    </row>
    <row r="35" spans="1:3" x14ac:dyDescent="0.3">
      <c r="A35" s="4" t="s">
        <v>165</v>
      </c>
      <c r="B35">
        <v>16954</v>
      </c>
      <c r="C35">
        <v>0</v>
      </c>
    </row>
    <row r="36" spans="1:3" x14ac:dyDescent="0.3">
      <c r="A36" s="4" t="s">
        <v>178</v>
      </c>
      <c r="B36">
        <v>10244</v>
      </c>
      <c r="C36">
        <v>-7.9</v>
      </c>
    </row>
    <row r="37" spans="1:3" x14ac:dyDescent="0.3">
      <c r="A37" s="4" t="s">
        <v>166</v>
      </c>
      <c r="B37">
        <v>4012</v>
      </c>
      <c r="C37">
        <v>0</v>
      </c>
    </row>
    <row r="38" spans="1:3" x14ac:dyDescent="0.3">
      <c r="A38" s="4" t="s">
        <v>174</v>
      </c>
      <c r="B38">
        <v>2455</v>
      </c>
      <c r="C38">
        <v>103</v>
      </c>
    </row>
    <row r="39" spans="1:3" x14ac:dyDescent="0.3">
      <c r="A39" s="4" t="s">
        <v>138</v>
      </c>
      <c r="B39">
        <v>2370</v>
      </c>
      <c r="C39">
        <v>4.5</v>
      </c>
    </row>
    <row r="40" spans="1:3" x14ac:dyDescent="0.3">
      <c r="A40" s="4" t="s">
        <v>180</v>
      </c>
      <c r="B40">
        <v>1713</v>
      </c>
      <c r="C40">
        <v>-100</v>
      </c>
    </row>
    <row r="41" spans="1:3" x14ac:dyDescent="0.3">
      <c r="A41" s="4" t="s">
        <v>141</v>
      </c>
      <c r="B41">
        <v>1606</v>
      </c>
      <c r="C41">
        <v>65.099999999999994</v>
      </c>
    </row>
    <row r="42" spans="1:3" x14ac:dyDescent="0.3">
      <c r="A42" s="4" t="s">
        <v>176</v>
      </c>
      <c r="B42">
        <v>1115</v>
      </c>
      <c r="C42">
        <v>-83.9</v>
      </c>
    </row>
    <row r="43" spans="1:3" x14ac:dyDescent="0.3">
      <c r="A43" s="4" t="s">
        <v>179</v>
      </c>
      <c r="B43">
        <v>743</v>
      </c>
      <c r="C43">
        <v>-43.1</v>
      </c>
    </row>
    <row r="44" spans="1:3" x14ac:dyDescent="0.3">
      <c r="A44" s="4" t="s">
        <v>175</v>
      </c>
      <c r="B44">
        <v>569</v>
      </c>
      <c r="C44">
        <v>-6.3</v>
      </c>
    </row>
    <row r="45" spans="1:3" x14ac:dyDescent="0.3">
      <c r="A45" s="4" t="s">
        <v>208</v>
      </c>
      <c r="B45">
        <v>4175135</v>
      </c>
      <c r="C45">
        <v>36.958536585365863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9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6.88671875" customWidth="1"/>
    <col min="2" max="2" width="71.109375" bestFit="1" customWidth="1"/>
    <col min="3" max="7" width="9.44140625" bestFit="1" customWidth="1"/>
    <col min="8" max="8" width="9.6640625" bestFit="1" customWidth="1"/>
    <col min="9" max="9" width="13.109375" bestFit="1" customWidth="1"/>
  </cols>
  <sheetData>
    <row r="1" spans="1:9" x14ac:dyDescent="0.3">
      <c r="A1" s="1" t="s">
        <v>127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181</v>
      </c>
      <c r="C2">
        <v>3283797</v>
      </c>
      <c r="D2">
        <v>3803846</v>
      </c>
      <c r="E2">
        <v>4531234</v>
      </c>
      <c r="F2">
        <v>5615130</v>
      </c>
      <c r="G2">
        <v>5362078</v>
      </c>
      <c r="H2">
        <v>22596085</v>
      </c>
      <c r="I2">
        <v>63.3</v>
      </c>
    </row>
    <row r="3" spans="1:9" x14ac:dyDescent="0.3">
      <c r="A3" t="s">
        <v>11</v>
      </c>
      <c r="B3" t="s">
        <v>182</v>
      </c>
      <c r="C3">
        <v>1697574</v>
      </c>
      <c r="D3">
        <v>1350877</v>
      </c>
      <c r="E3">
        <v>1735514</v>
      </c>
      <c r="F3">
        <v>2317852</v>
      </c>
      <c r="G3">
        <v>3210155</v>
      </c>
      <c r="H3">
        <v>10311972</v>
      </c>
      <c r="I3">
        <v>89.1</v>
      </c>
    </row>
    <row r="4" spans="1:9" x14ac:dyDescent="0.3">
      <c r="A4" t="s">
        <v>13</v>
      </c>
      <c r="B4" t="s">
        <v>151</v>
      </c>
      <c r="C4">
        <v>1084389</v>
      </c>
      <c r="D4">
        <v>1199118</v>
      </c>
      <c r="E4">
        <v>1355341</v>
      </c>
      <c r="F4">
        <v>1476962</v>
      </c>
      <c r="G4">
        <v>1935214</v>
      </c>
      <c r="H4">
        <v>7051024</v>
      </c>
      <c r="I4">
        <v>78.5</v>
      </c>
    </row>
    <row r="5" spans="1:9" x14ac:dyDescent="0.3">
      <c r="A5" t="s">
        <v>15</v>
      </c>
      <c r="B5" t="s">
        <v>16</v>
      </c>
      <c r="C5">
        <v>922603</v>
      </c>
      <c r="D5">
        <v>987292</v>
      </c>
      <c r="E5">
        <v>1078502</v>
      </c>
      <c r="F5">
        <v>1123456</v>
      </c>
      <c r="G5">
        <v>1962993</v>
      </c>
      <c r="H5">
        <v>6074846</v>
      </c>
      <c r="I5">
        <v>112.8</v>
      </c>
    </row>
    <row r="6" spans="1:9" x14ac:dyDescent="0.3">
      <c r="A6" t="s">
        <v>17</v>
      </c>
      <c r="B6" t="s">
        <v>183</v>
      </c>
      <c r="C6">
        <v>508822</v>
      </c>
      <c r="D6">
        <v>647848</v>
      </c>
      <c r="E6">
        <v>856238</v>
      </c>
      <c r="F6">
        <v>978356</v>
      </c>
      <c r="G6">
        <v>1146935</v>
      </c>
      <c r="H6">
        <v>4138199</v>
      </c>
      <c r="I6">
        <v>125.4</v>
      </c>
    </row>
    <row r="7" spans="1:9" x14ac:dyDescent="0.3">
      <c r="A7" t="s">
        <v>19</v>
      </c>
      <c r="B7" t="s">
        <v>20</v>
      </c>
      <c r="C7">
        <v>295889</v>
      </c>
      <c r="D7">
        <v>318198</v>
      </c>
      <c r="E7">
        <v>347623</v>
      </c>
      <c r="F7">
        <v>329757</v>
      </c>
      <c r="G7">
        <v>351216</v>
      </c>
      <c r="H7">
        <v>1642683</v>
      </c>
      <c r="I7">
        <v>18.7</v>
      </c>
    </row>
    <row r="8" spans="1:9" x14ac:dyDescent="0.3">
      <c r="A8" t="s">
        <v>21</v>
      </c>
      <c r="B8" t="s">
        <v>22</v>
      </c>
      <c r="C8">
        <v>1477386</v>
      </c>
      <c r="D8">
        <v>1615552</v>
      </c>
      <c r="E8">
        <v>1972528</v>
      </c>
      <c r="F8">
        <v>1898821</v>
      </c>
      <c r="G8">
        <v>1778901</v>
      </c>
      <c r="H8">
        <v>8743188</v>
      </c>
      <c r="I8">
        <v>20.399999999999999</v>
      </c>
    </row>
    <row r="9" spans="1:9" x14ac:dyDescent="0.3">
      <c r="A9" t="s">
        <v>23</v>
      </c>
      <c r="B9" t="s">
        <v>24</v>
      </c>
      <c r="C9">
        <v>1779635</v>
      </c>
      <c r="D9">
        <v>2019443</v>
      </c>
      <c r="E9">
        <v>2683600</v>
      </c>
      <c r="F9">
        <v>2743939</v>
      </c>
      <c r="G9">
        <v>3046899</v>
      </c>
      <c r="H9">
        <v>12273516</v>
      </c>
      <c r="I9">
        <v>71.2</v>
      </c>
    </row>
    <row r="10" spans="1:9" x14ac:dyDescent="0.3">
      <c r="A10" t="s">
        <v>25</v>
      </c>
      <c r="B10" t="s">
        <v>26</v>
      </c>
      <c r="C10">
        <v>2646491</v>
      </c>
      <c r="D10">
        <v>2761568</v>
      </c>
      <c r="E10">
        <v>3195097</v>
      </c>
      <c r="F10">
        <v>3004802</v>
      </c>
      <c r="G10">
        <v>3811150</v>
      </c>
      <c r="H10">
        <v>15419108</v>
      </c>
      <c r="I10">
        <v>44</v>
      </c>
    </row>
    <row r="11" spans="1:9" x14ac:dyDescent="0.3">
      <c r="A11" t="s">
        <v>27</v>
      </c>
      <c r="B11" t="s">
        <v>184</v>
      </c>
      <c r="C11">
        <v>1267311</v>
      </c>
      <c r="D11">
        <v>1752321</v>
      </c>
      <c r="E11">
        <v>1937232</v>
      </c>
      <c r="F11">
        <v>1902324</v>
      </c>
      <c r="G11">
        <v>2947782</v>
      </c>
      <c r="H11">
        <v>9806970</v>
      </c>
      <c r="I11">
        <v>132.6</v>
      </c>
    </row>
    <row r="12" spans="1:9" x14ac:dyDescent="0.3">
      <c r="A12" t="s">
        <v>29</v>
      </c>
      <c r="B12" t="s">
        <v>185</v>
      </c>
      <c r="C12">
        <v>1086930</v>
      </c>
      <c r="D12">
        <v>1160146</v>
      </c>
      <c r="E12">
        <v>1339903</v>
      </c>
      <c r="F12">
        <v>1311003</v>
      </c>
      <c r="G12">
        <v>1839285</v>
      </c>
      <c r="H12">
        <v>6737267</v>
      </c>
      <c r="I12">
        <v>69.2</v>
      </c>
    </row>
    <row r="13" spans="1:9" x14ac:dyDescent="0.3">
      <c r="A13" t="s">
        <v>31</v>
      </c>
      <c r="B13" t="s">
        <v>32</v>
      </c>
      <c r="C13">
        <v>539820</v>
      </c>
      <c r="D13">
        <v>583352</v>
      </c>
      <c r="E13">
        <v>652275</v>
      </c>
      <c r="F13">
        <v>709883</v>
      </c>
      <c r="G13">
        <v>1004567</v>
      </c>
      <c r="H13">
        <v>3489897</v>
      </c>
      <c r="I13">
        <v>86.1</v>
      </c>
    </row>
    <row r="14" spans="1:9" x14ac:dyDescent="0.3">
      <c r="A14" t="s">
        <v>33</v>
      </c>
      <c r="B14" t="s">
        <v>34</v>
      </c>
      <c r="C14">
        <v>723756</v>
      </c>
      <c r="D14">
        <v>794257</v>
      </c>
      <c r="E14">
        <v>739844</v>
      </c>
      <c r="F14">
        <v>679720</v>
      </c>
      <c r="G14">
        <v>826862</v>
      </c>
      <c r="H14">
        <v>3764439</v>
      </c>
      <c r="I14">
        <v>14.2</v>
      </c>
    </row>
    <row r="15" spans="1:9" x14ac:dyDescent="0.3">
      <c r="A15" t="s">
        <v>35</v>
      </c>
      <c r="B15" t="s">
        <v>36</v>
      </c>
      <c r="C15">
        <v>1054977</v>
      </c>
      <c r="D15">
        <v>1110289</v>
      </c>
      <c r="E15">
        <v>1164674</v>
      </c>
      <c r="F15">
        <v>1058069</v>
      </c>
      <c r="G15">
        <v>1238950</v>
      </c>
      <c r="H15">
        <v>5626959</v>
      </c>
      <c r="I15">
        <v>17.399999999999999</v>
      </c>
    </row>
    <row r="16" spans="1:9" x14ac:dyDescent="0.3">
      <c r="A16" t="s">
        <v>37</v>
      </c>
      <c r="B16" t="s">
        <v>38</v>
      </c>
      <c r="C16">
        <v>796356</v>
      </c>
      <c r="D16">
        <v>1107086</v>
      </c>
      <c r="E16">
        <v>1215610</v>
      </c>
      <c r="F16">
        <v>975240</v>
      </c>
      <c r="G16">
        <v>939809</v>
      </c>
      <c r="H16">
        <v>5034101</v>
      </c>
      <c r="I16">
        <v>18</v>
      </c>
    </row>
    <row r="17" spans="1:9" x14ac:dyDescent="0.3">
      <c r="A17" t="s">
        <v>39</v>
      </c>
      <c r="B17" t="s">
        <v>40</v>
      </c>
      <c r="C17">
        <v>1247081</v>
      </c>
      <c r="D17">
        <v>1337982</v>
      </c>
      <c r="E17">
        <v>1304025</v>
      </c>
      <c r="F17">
        <v>1413257</v>
      </c>
      <c r="G17">
        <v>1891454</v>
      </c>
      <c r="H17">
        <v>7193799</v>
      </c>
      <c r="I17">
        <v>51.7</v>
      </c>
    </row>
    <row r="18" spans="1:9" x14ac:dyDescent="0.3">
      <c r="A18" t="s">
        <v>41</v>
      </c>
      <c r="B18" t="s">
        <v>42</v>
      </c>
      <c r="C18">
        <v>576964</v>
      </c>
      <c r="D18">
        <v>771437</v>
      </c>
      <c r="E18">
        <v>1097261</v>
      </c>
      <c r="F18">
        <v>1349010</v>
      </c>
      <c r="G18">
        <v>2274042</v>
      </c>
      <c r="H18">
        <v>6068714</v>
      </c>
      <c r="I18">
        <v>294.10000000000002</v>
      </c>
    </row>
    <row r="19" spans="1:9" x14ac:dyDescent="0.3">
      <c r="A19" t="s">
        <v>43</v>
      </c>
      <c r="B19" t="s">
        <v>44</v>
      </c>
      <c r="C19">
        <v>450390</v>
      </c>
      <c r="D19">
        <v>651583</v>
      </c>
      <c r="E19">
        <v>858774</v>
      </c>
      <c r="F19">
        <v>934077</v>
      </c>
      <c r="G19">
        <v>1237200</v>
      </c>
      <c r="H19">
        <v>4132024</v>
      </c>
      <c r="I19">
        <v>174.7</v>
      </c>
    </row>
    <row r="20" spans="1:9" x14ac:dyDescent="0.3">
      <c r="A20" t="s">
        <v>45</v>
      </c>
      <c r="B20" t="s">
        <v>186</v>
      </c>
      <c r="C20">
        <v>375044</v>
      </c>
      <c r="D20">
        <v>589851</v>
      </c>
      <c r="E20">
        <v>735161</v>
      </c>
      <c r="F20">
        <v>1231003</v>
      </c>
      <c r="G20">
        <v>1673906</v>
      </c>
      <c r="H20">
        <v>4604965</v>
      </c>
      <c r="I20">
        <v>346.3</v>
      </c>
    </row>
    <row r="21" spans="1:9" x14ac:dyDescent="0.3">
      <c r="A21" t="s">
        <v>47</v>
      </c>
      <c r="B21" t="s">
        <v>48</v>
      </c>
      <c r="C21">
        <v>306060</v>
      </c>
      <c r="D21">
        <v>399063</v>
      </c>
      <c r="E21">
        <v>563098</v>
      </c>
      <c r="F21">
        <v>1026042</v>
      </c>
      <c r="G21">
        <v>1668606</v>
      </c>
      <c r="H21">
        <v>3962869</v>
      </c>
      <c r="I21">
        <v>445.2</v>
      </c>
    </row>
    <row r="22" spans="1:9" x14ac:dyDescent="0.3">
      <c r="A22" t="s">
        <v>49</v>
      </c>
      <c r="B22" t="s">
        <v>187</v>
      </c>
      <c r="C22">
        <v>0</v>
      </c>
      <c r="D22">
        <v>229165</v>
      </c>
      <c r="E22">
        <v>409907</v>
      </c>
      <c r="F22">
        <v>505061</v>
      </c>
      <c r="G22">
        <v>598381</v>
      </c>
      <c r="H22">
        <v>1742514</v>
      </c>
      <c r="I22">
        <v>0</v>
      </c>
    </row>
    <row r="23" spans="1:9" x14ac:dyDescent="0.3">
      <c r="A23" t="s">
        <v>51</v>
      </c>
      <c r="B23" t="s">
        <v>188</v>
      </c>
      <c r="C23">
        <v>0</v>
      </c>
      <c r="D23">
        <v>0</v>
      </c>
      <c r="E23">
        <v>0</v>
      </c>
      <c r="F23">
        <v>471358</v>
      </c>
      <c r="G23">
        <v>641041</v>
      </c>
      <c r="H23">
        <v>1112399</v>
      </c>
      <c r="I23">
        <v>0</v>
      </c>
    </row>
    <row r="24" spans="1:9" x14ac:dyDescent="0.3">
      <c r="A24" t="s">
        <v>53</v>
      </c>
      <c r="B24" t="s">
        <v>189</v>
      </c>
      <c r="C24">
        <v>0</v>
      </c>
      <c r="D24">
        <v>0</v>
      </c>
      <c r="E24">
        <v>0</v>
      </c>
      <c r="F24">
        <v>252483</v>
      </c>
      <c r="G24">
        <v>519202</v>
      </c>
      <c r="H24">
        <v>771685</v>
      </c>
      <c r="I24">
        <v>0</v>
      </c>
    </row>
    <row r="25" spans="1:9" x14ac:dyDescent="0.3">
      <c r="A25" t="s">
        <v>55</v>
      </c>
      <c r="B25" t="s">
        <v>166</v>
      </c>
      <c r="C25">
        <v>0</v>
      </c>
      <c r="D25">
        <v>0</v>
      </c>
      <c r="E25">
        <v>0</v>
      </c>
      <c r="F25">
        <v>0</v>
      </c>
      <c r="G25">
        <v>448640</v>
      </c>
      <c r="H25">
        <v>448640</v>
      </c>
      <c r="I25">
        <v>0</v>
      </c>
    </row>
    <row r="26" spans="1:9" x14ac:dyDescent="0.3">
      <c r="A26" t="s">
        <v>57</v>
      </c>
      <c r="B26" t="s">
        <v>190</v>
      </c>
      <c r="C26">
        <v>519081</v>
      </c>
      <c r="D26">
        <v>369190</v>
      </c>
      <c r="E26">
        <v>555260</v>
      </c>
      <c r="F26">
        <v>661551</v>
      </c>
      <c r="G26">
        <v>948997</v>
      </c>
      <c r="H26">
        <v>3054079</v>
      </c>
      <c r="I26">
        <v>82.8</v>
      </c>
    </row>
    <row r="27" spans="1:9" x14ac:dyDescent="0.3">
      <c r="A27" t="s">
        <v>59</v>
      </c>
      <c r="B27" t="s">
        <v>191</v>
      </c>
      <c r="C27">
        <v>461944</v>
      </c>
      <c r="D27">
        <v>374070</v>
      </c>
      <c r="E27">
        <v>514225</v>
      </c>
      <c r="F27">
        <v>550202</v>
      </c>
      <c r="G27">
        <v>653634</v>
      </c>
      <c r="H27">
        <v>2554075</v>
      </c>
      <c r="I27">
        <v>41.5</v>
      </c>
    </row>
    <row r="28" spans="1:9" x14ac:dyDescent="0.3">
      <c r="A28" t="s">
        <v>61</v>
      </c>
      <c r="B28" t="s">
        <v>62</v>
      </c>
      <c r="C28">
        <v>922214</v>
      </c>
      <c r="D28">
        <v>967062</v>
      </c>
      <c r="E28">
        <v>1475313</v>
      </c>
      <c r="F28">
        <v>1751464</v>
      </c>
      <c r="G28">
        <v>1961038</v>
      </c>
      <c r="H28">
        <v>7077091</v>
      </c>
      <c r="I28">
        <v>112.6</v>
      </c>
    </row>
    <row r="29" spans="1:9" x14ac:dyDescent="0.3">
      <c r="A29" t="s">
        <v>63</v>
      </c>
      <c r="B29" t="s">
        <v>192</v>
      </c>
      <c r="C29">
        <v>61089</v>
      </c>
      <c r="D29">
        <v>66912</v>
      </c>
      <c r="E29">
        <v>70019</v>
      </c>
      <c r="F29">
        <v>74246</v>
      </c>
      <c r="G29">
        <v>78821</v>
      </c>
      <c r="H29">
        <v>351087</v>
      </c>
      <c r="I29">
        <v>29</v>
      </c>
    </row>
    <row r="30" spans="1:9" x14ac:dyDescent="0.3">
      <c r="A30" t="s">
        <v>65</v>
      </c>
      <c r="B30" t="s">
        <v>66</v>
      </c>
      <c r="C30">
        <v>116112</v>
      </c>
      <c r="D30">
        <v>97688</v>
      </c>
      <c r="E30">
        <v>121696</v>
      </c>
      <c r="F30">
        <v>91155</v>
      </c>
      <c r="G30">
        <v>81813</v>
      </c>
      <c r="H30">
        <v>508464</v>
      </c>
      <c r="I30">
        <v>-29.5</v>
      </c>
    </row>
    <row r="31" spans="1:9" x14ac:dyDescent="0.3">
      <c r="A31" t="s">
        <v>67</v>
      </c>
      <c r="B31" t="s">
        <v>193</v>
      </c>
      <c r="C31">
        <v>740763</v>
      </c>
      <c r="D31">
        <v>691297</v>
      </c>
      <c r="E31">
        <v>824962</v>
      </c>
      <c r="F31">
        <v>827228</v>
      </c>
      <c r="G31">
        <v>1128467</v>
      </c>
      <c r="H31">
        <v>4212717</v>
      </c>
      <c r="I31">
        <v>52.3</v>
      </c>
    </row>
    <row r="32" spans="1:9" x14ac:dyDescent="0.3">
      <c r="A32" t="s">
        <v>69</v>
      </c>
      <c r="B32" t="s">
        <v>194</v>
      </c>
      <c r="C32">
        <v>162496</v>
      </c>
      <c r="D32">
        <v>235001</v>
      </c>
      <c r="E32">
        <v>266294</v>
      </c>
      <c r="F32">
        <v>294384</v>
      </c>
      <c r="G32">
        <v>340218</v>
      </c>
      <c r="H32">
        <v>1298393</v>
      </c>
      <c r="I32">
        <v>109.4</v>
      </c>
    </row>
    <row r="33" spans="1:9" x14ac:dyDescent="0.3">
      <c r="A33" t="s">
        <v>71</v>
      </c>
      <c r="B33" t="s">
        <v>195</v>
      </c>
      <c r="C33">
        <v>564154</v>
      </c>
      <c r="D33">
        <v>620507</v>
      </c>
      <c r="E33">
        <v>667333</v>
      </c>
      <c r="F33">
        <v>632685</v>
      </c>
      <c r="G33">
        <v>672729</v>
      </c>
      <c r="H33">
        <v>3157408</v>
      </c>
      <c r="I33">
        <v>19.2</v>
      </c>
    </row>
    <row r="34" spans="1:9" x14ac:dyDescent="0.3">
      <c r="A34" t="s">
        <v>73</v>
      </c>
      <c r="B34" t="s">
        <v>196</v>
      </c>
      <c r="C34">
        <v>54147</v>
      </c>
      <c r="D34">
        <v>55977</v>
      </c>
      <c r="E34">
        <v>53673</v>
      </c>
      <c r="F34">
        <v>52341</v>
      </c>
      <c r="G34">
        <v>56635</v>
      </c>
      <c r="H34">
        <v>272773</v>
      </c>
      <c r="I34">
        <v>4.5999999999999996</v>
      </c>
    </row>
    <row r="35" spans="1:9" x14ac:dyDescent="0.3">
      <c r="A35" t="s">
        <v>75</v>
      </c>
      <c r="B35" t="s">
        <v>197</v>
      </c>
      <c r="C35">
        <v>87959</v>
      </c>
      <c r="D35">
        <v>130432</v>
      </c>
      <c r="E35">
        <v>121150</v>
      </c>
      <c r="F35">
        <v>136079</v>
      </c>
      <c r="G35">
        <v>131386</v>
      </c>
      <c r="H35">
        <v>607006</v>
      </c>
      <c r="I35">
        <v>49.4</v>
      </c>
    </row>
    <row r="36" spans="1:9" x14ac:dyDescent="0.3">
      <c r="A36" t="s">
        <v>77</v>
      </c>
      <c r="B36" t="s">
        <v>198</v>
      </c>
      <c r="C36">
        <v>318299</v>
      </c>
      <c r="D36">
        <v>424550</v>
      </c>
      <c r="E36">
        <v>408792</v>
      </c>
      <c r="F36">
        <v>395834</v>
      </c>
      <c r="G36">
        <v>439519</v>
      </c>
      <c r="H36">
        <v>1986994</v>
      </c>
      <c r="I36">
        <v>38.1</v>
      </c>
    </row>
    <row r="37" spans="1:9" x14ac:dyDescent="0.3">
      <c r="A37" t="s">
        <v>79</v>
      </c>
      <c r="B37" t="s">
        <v>199</v>
      </c>
      <c r="C37">
        <v>39957</v>
      </c>
      <c r="D37">
        <v>47791</v>
      </c>
      <c r="E37">
        <v>57026</v>
      </c>
      <c r="F37">
        <v>50818</v>
      </c>
      <c r="G37">
        <v>79317</v>
      </c>
      <c r="H37">
        <v>274909</v>
      </c>
      <c r="I37">
        <v>98.5</v>
      </c>
    </row>
    <row r="38" spans="1:9" x14ac:dyDescent="0.3">
      <c r="A38" t="s">
        <v>81</v>
      </c>
      <c r="B38" t="s">
        <v>200</v>
      </c>
      <c r="C38">
        <v>0</v>
      </c>
      <c r="D38">
        <v>0</v>
      </c>
      <c r="E38">
        <v>89671</v>
      </c>
      <c r="F38">
        <v>101307</v>
      </c>
      <c r="G38">
        <v>144671</v>
      </c>
      <c r="H38">
        <v>335649</v>
      </c>
      <c r="I38">
        <v>0</v>
      </c>
    </row>
    <row r="39" spans="1:9" x14ac:dyDescent="0.3">
      <c r="A39" t="s">
        <v>83</v>
      </c>
      <c r="B39" t="s">
        <v>201</v>
      </c>
      <c r="C39">
        <v>77425</v>
      </c>
      <c r="D39">
        <v>70425</v>
      </c>
      <c r="E39">
        <v>71004</v>
      </c>
      <c r="F39">
        <v>95554</v>
      </c>
      <c r="G39">
        <v>106765</v>
      </c>
      <c r="H39">
        <v>421173</v>
      </c>
      <c r="I39">
        <v>37.9</v>
      </c>
    </row>
    <row r="40" spans="1:9" x14ac:dyDescent="0.3">
      <c r="A40" t="s">
        <v>85</v>
      </c>
      <c r="B40" t="s">
        <v>202</v>
      </c>
      <c r="C40">
        <v>2560</v>
      </c>
      <c r="D40">
        <v>1152</v>
      </c>
      <c r="E40">
        <v>1198</v>
      </c>
      <c r="F40">
        <v>1168</v>
      </c>
      <c r="G40">
        <v>1296</v>
      </c>
      <c r="H40">
        <v>7374</v>
      </c>
      <c r="I40">
        <v>-49.4</v>
      </c>
    </row>
    <row r="41" spans="1:9" x14ac:dyDescent="0.3">
      <c r="A41" t="s">
        <v>87</v>
      </c>
      <c r="B41" t="s">
        <v>203</v>
      </c>
      <c r="C41">
        <v>39292</v>
      </c>
      <c r="D41">
        <v>56434</v>
      </c>
      <c r="E41">
        <v>57597</v>
      </c>
      <c r="F41">
        <v>61908</v>
      </c>
      <c r="G41">
        <v>60010</v>
      </c>
      <c r="H41">
        <v>275241</v>
      </c>
      <c r="I41">
        <v>52.7</v>
      </c>
    </row>
    <row r="42" spans="1:9" x14ac:dyDescent="0.3">
      <c r="A42" t="s">
        <v>89</v>
      </c>
      <c r="B42" t="s">
        <v>204</v>
      </c>
      <c r="C42">
        <v>3128</v>
      </c>
      <c r="D42">
        <v>4027</v>
      </c>
      <c r="E42">
        <v>5167</v>
      </c>
      <c r="F42">
        <v>5752</v>
      </c>
      <c r="G42">
        <v>5634</v>
      </c>
      <c r="H42">
        <v>23708</v>
      </c>
      <c r="I42">
        <v>80.099999999999994</v>
      </c>
    </row>
    <row r="43" spans="1:9" x14ac:dyDescent="0.3">
      <c r="A43" t="s">
        <v>91</v>
      </c>
      <c r="B43" t="s">
        <v>205</v>
      </c>
      <c r="C43">
        <v>97141</v>
      </c>
      <c r="D43">
        <v>95466</v>
      </c>
      <c r="E43">
        <v>111990</v>
      </c>
      <c r="F43">
        <v>141404</v>
      </c>
      <c r="G43">
        <v>147069</v>
      </c>
      <c r="H43">
        <v>593070</v>
      </c>
      <c r="I43">
        <v>51.4</v>
      </c>
    </row>
    <row r="44" spans="1:9" x14ac:dyDescent="0.3">
      <c r="A44" t="s">
        <v>93</v>
      </c>
      <c r="B44" t="s">
        <v>144</v>
      </c>
      <c r="C44">
        <v>7332</v>
      </c>
      <c r="D44">
        <v>7219</v>
      </c>
      <c r="E44">
        <v>7440</v>
      </c>
      <c r="F44">
        <v>7065</v>
      </c>
      <c r="G44">
        <v>7500</v>
      </c>
      <c r="H44">
        <v>36556</v>
      </c>
      <c r="I44">
        <v>2.2999999999999998</v>
      </c>
    </row>
    <row r="45" spans="1:9" x14ac:dyDescent="0.3">
      <c r="A45" t="s">
        <v>95</v>
      </c>
      <c r="B45" t="s">
        <v>98</v>
      </c>
      <c r="C45">
        <v>21272</v>
      </c>
      <c r="D45">
        <v>22040</v>
      </c>
      <c r="E45">
        <v>20403</v>
      </c>
      <c r="F45">
        <v>13072</v>
      </c>
      <c r="G45">
        <v>12018</v>
      </c>
      <c r="H45">
        <v>88805</v>
      </c>
      <c r="I45">
        <v>-43.5</v>
      </c>
    </row>
    <row r="46" spans="1:9" x14ac:dyDescent="0.3">
      <c r="A46" t="s">
        <v>97</v>
      </c>
      <c r="B46" t="s">
        <v>206</v>
      </c>
      <c r="C46">
        <v>21645</v>
      </c>
      <c r="D46">
        <v>18560</v>
      </c>
      <c r="E46">
        <v>9922</v>
      </c>
      <c r="F46">
        <v>15997</v>
      </c>
      <c r="G46">
        <v>13585</v>
      </c>
      <c r="H46">
        <v>79709</v>
      </c>
      <c r="I46">
        <v>-37.200000000000003</v>
      </c>
    </row>
    <row r="47" spans="1:9" x14ac:dyDescent="0.3">
      <c r="A47" t="s">
        <v>99</v>
      </c>
      <c r="B47" t="s">
        <v>100</v>
      </c>
      <c r="C47">
        <v>0</v>
      </c>
      <c r="D47">
        <v>130</v>
      </c>
      <c r="E47">
        <v>43</v>
      </c>
      <c r="F47">
        <v>273</v>
      </c>
      <c r="G47">
        <v>230</v>
      </c>
      <c r="H47">
        <v>676</v>
      </c>
      <c r="I47">
        <v>0</v>
      </c>
    </row>
    <row r="48" spans="1:9" x14ac:dyDescent="0.3">
      <c r="A48" t="s">
        <v>101</v>
      </c>
      <c r="B48" t="s">
        <v>104</v>
      </c>
      <c r="C48">
        <v>9080</v>
      </c>
      <c r="D48">
        <v>10397</v>
      </c>
      <c r="E48">
        <v>8649</v>
      </c>
      <c r="F48">
        <v>6614</v>
      </c>
      <c r="G48">
        <v>4970</v>
      </c>
      <c r="H48">
        <v>39710</v>
      </c>
      <c r="I48">
        <v>-45.3</v>
      </c>
    </row>
    <row r="49" spans="1:9" x14ac:dyDescent="0.3">
      <c r="A49" t="s">
        <v>103</v>
      </c>
      <c r="B49" t="s">
        <v>106</v>
      </c>
      <c r="C49">
        <v>830</v>
      </c>
      <c r="D49">
        <v>0</v>
      </c>
      <c r="E49">
        <v>0</v>
      </c>
      <c r="F49">
        <v>0</v>
      </c>
      <c r="G49">
        <v>68</v>
      </c>
      <c r="H49">
        <v>898</v>
      </c>
      <c r="I49">
        <v>-91.8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B5D30-1DC6-4E5C-B527-0AAF887E86D0}">
  <dimension ref="A3:C52"/>
  <sheetViews>
    <sheetView workbookViewId="0">
      <selection activeCell="F29" sqref="F29"/>
    </sheetView>
  </sheetViews>
  <sheetFormatPr defaultRowHeight="14.4" x14ac:dyDescent="0.3"/>
  <cols>
    <col min="1" max="1" width="71.109375" bestFit="1" customWidth="1"/>
    <col min="2" max="2" width="11.6640625" bestFit="1" customWidth="1"/>
    <col min="3" max="3" width="18.44140625" bestFit="1" customWidth="1"/>
  </cols>
  <sheetData>
    <row r="3" spans="1:3" x14ac:dyDescent="0.3">
      <c r="A3" s="3" t="s">
        <v>207</v>
      </c>
      <c r="B3" t="s">
        <v>209</v>
      </c>
      <c r="C3" t="s">
        <v>210</v>
      </c>
    </row>
    <row r="4" spans="1:3" x14ac:dyDescent="0.3">
      <c r="A4" s="4" t="s">
        <v>181</v>
      </c>
      <c r="B4">
        <v>22596085</v>
      </c>
      <c r="C4">
        <v>63.3</v>
      </c>
    </row>
    <row r="5" spans="1:3" x14ac:dyDescent="0.3">
      <c r="A5" s="4" t="s">
        <v>26</v>
      </c>
      <c r="B5">
        <v>15419108</v>
      </c>
      <c r="C5">
        <v>44</v>
      </c>
    </row>
    <row r="6" spans="1:3" x14ac:dyDescent="0.3">
      <c r="A6" s="4" t="s">
        <v>24</v>
      </c>
      <c r="B6">
        <v>12273516</v>
      </c>
      <c r="C6">
        <v>71.2</v>
      </c>
    </row>
    <row r="7" spans="1:3" x14ac:dyDescent="0.3">
      <c r="A7" s="4" t="s">
        <v>182</v>
      </c>
      <c r="B7">
        <v>10311972</v>
      </c>
      <c r="C7">
        <v>89.1</v>
      </c>
    </row>
    <row r="8" spans="1:3" x14ac:dyDescent="0.3">
      <c r="A8" s="4" t="s">
        <v>184</v>
      </c>
      <c r="B8">
        <v>9806970</v>
      </c>
      <c r="C8">
        <v>132.6</v>
      </c>
    </row>
    <row r="9" spans="1:3" x14ac:dyDescent="0.3">
      <c r="A9" s="4" t="s">
        <v>22</v>
      </c>
      <c r="B9">
        <v>8743188</v>
      </c>
      <c r="C9">
        <v>20.399999999999999</v>
      </c>
    </row>
    <row r="10" spans="1:3" x14ac:dyDescent="0.3">
      <c r="A10" s="4" t="s">
        <v>40</v>
      </c>
      <c r="B10">
        <v>7193799</v>
      </c>
      <c r="C10">
        <v>51.7</v>
      </c>
    </row>
    <row r="11" spans="1:3" x14ac:dyDescent="0.3">
      <c r="A11" s="4" t="s">
        <v>62</v>
      </c>
      <c r="B11">
        <v>7077091</v>
      </c>
      <c r="C11">
        <v>112.6</v>
      </c>
    </row>
    <row r="12" spans="1:3" x14ac:dyDescent="0.3">
      <c r="A12" s="4" t="s">
        <v>151</v>
      </c>
      <c r="B12">
        <v>7051024</v>
      </c>
      <c r="C12">
        <v>78.5</v>
      </c>
    </row>
    <row r="13" spans="1:3" x14ac:dyDescent="0.3">
      <c r="A13" s="4" t="s">
        <v>185</v>
      </c>
      <c r="B13">
        <v>6737267</v>
      </c>
      <c r="C13">
        <v>69.2</v>
      </c>
    </row>
    <row r="14" spans="1:3" x14ac:dyDescent="0.3">
      <c r="A14" s="4" t="s">
        <v>16</v>
      </c>
      <c r="B14">
        <v>6074846</v>
      </c>
      <c r="C14">
        <v>112.8</v>
      </c>
    </row>
    <row r="15" spans="1:3" x14ac:dyDescent="0.3">
      <c r="A15" s="4" t="s">
        <v>42</v>
      </c>
      <c r="B15">
        <v>6068714</v>
      </c>
      <c r="C15">
        <v>294.10000000000002</v>
      </c>
    </row>
    <row r="16" spans="1:3" x14ac:dyDescent="0.3">
      <c r="A16" s="4" t="s">
        <v>36</v>
      </c>
      <c r="B16">
        <v>5626959</v>
      </c>
      <c r="C16">
        <v>17.399999999999999</v>
      </c>
    </row>
    <row r="17" spans="1:3" x14ac:dyDescent="0.3">
      <c r="A17" s="4" t="s">
        <v>38</v>
      </c>
      <c r="B17">
        <v>5034101</v>
      </c>
      <c r="C17">
        <v>18</v>
      </c>
    </row>
    <row r="18" spans="1:3" x14ac:dyDescent="0.3">
      <c r="A18" s="4" t="s">
        <v>186</v>
      </c>
      <c r="B18">
        <v>4604965</v>
      </c>
      <c r="C18">
        <v>346.3</v>
      </c>
    </row>
    <row r="19" spans="1:3" x14ac:dyDescent="0.3">
      <c r="A19" s="4" t="s">
        <v>193</v>
      </c>
      <c r="B19">
        <v>4212717</v>
      </c>
      <c r="C19">
        <v>52.3</v>
      </c>
    </row>
    <row r="20" spans="1:3" x14ac:dyDescent="0.3">
      <c r="A20" s="4" t="s">
        <v>183</v>
      </c>
      <c r="B20">
        <v>4138199</v>
      </c>
      <c r="C20">
        <v>125.4</v>
      </c>
    </row>
    <row r="21" spans="1:3" x14ac:dyDescent="0.3">
      <c r="A21" s="4" t="s">
        <v>44</v>
      </c>
      <c r="B21">
        <v>4132024</v>
      </c>
      <c r="C21">
        <v>174.7</v>
      </c>
    </row>
    <row r="22" spans="1:3" x14ac:dyDescent="0.3">
      <c r="A22" s="4" t="s">
        <v>48</v>
      </c>
      <c r="B22">
        <v>3962869</v>
      </c>
      <c r="C22">
        <v>445.2</v>
      </c>
    </row>
    <row r="23" spans="1:3" x14ac:dyDescent="0.3">
      <c r="A23" s="4" t="s">
        <v>34</v>
      </c>
      <c r="B23">
        <v>3764439</v>
      </c>
      <c r="C23">
        <v>14.2</v>
      </c>
    </row>
    <row r="24" spans="1:3" x14ac:dyDescent="0.3">
      <c r="A24" s="4" t="s">
        <v>32</v>
      </c>
      <c r="B24">
        <v>3489897</v>
      </c>
      <c r="C24">
        <v>86.1</v>
      </c>
    </row>
    <row r="25" spans="1:3" x14ac:dyDescent="0.3">
      <c r="A25" s="4" t="s">
        <v>195</v>
      </c>
      <c r="B25">
        <v>3157408</v>
      </c>
      <c r="C25">
        <v>19.2</v>
      </c>
    </row>
    <row r="26" spans="1:3" x14ac:dyDescent="0.3">
      <c r="A26" s="4" t="s">
        <v>190</v>
      </c>
      <c r="B26">
        <v>3054079</v>
      </c>
      <c r="C26">
        <v>82.8</v>
      </c>
    </row>
    <row r="27" spans="1:3" x14ac:dyDescent="0.3">
      <c r="A27" s="4" t="s">
        <v>191</v>
      </c>
      <c r="B27">
        <v>2554075</v>
      </c>
      <c r="C27">
        <v>41.5</v>
      </c>
    </row>
    <row r="28" spans="1:3" x14ac:dyDescent="0.3">
      <c r="A28" s="4" t="s">
        <v>198</v>
      </c>
      <c r="B28">
        <v>1986994</v>
      </c>
      <c r="C28">
        <v>38.1</v>
      </c>
    </row>
    <row r="29" spans="1:3" x14ac:dyDescent="0.3">
      <c r="A29" s="4" t="s">
        <v>187</v>
      </c>
      <c r="B29">
        <v>1742514</v>
      </c>
      <c r="C29">
        <v>0</v>
      </c>
    </row>
    <row r="30" spans="1:3" x14ac:dyDescent="0.3">
      <c r="A30" s="4" t="s">
        <v>20</v>
      </c>
      <c r="B30">
        <v>1642683</v>
      </c>
      <c r="C30">
        <v>18.7</v>
      </c>
    </row>
    <row r="31" spans="1:3" x14ac:dyDescent="0.3">
      <c r="A31" s="4" t="s">
        <v>194</v>
      </c>
      <c r="B31">
        <v>1298393</v>
      </c>
      <c r="C31">
        <v>109.4</v>
      </c>
    </row>
    <row r="32" spans="1:3" x14ac:dyDescent="0.3">
      <c r="A32" s="4" t="s">
        <v>188</v>
      </c>
      <c r="B32">
        <v>1112399</v>
      </c>
      <c r="C32">
        <v>0</v>
      </c>
    </row>
    <row r="33" spans="1:3" x14ac:dyDescent="0.3">
      <c r="A33" s="4" t="s">
        <v>189</v>
      </c>
      <c r="B33">
        <v>771685</v>
      </c>
      <c r="C33">
        <v>0</v>
      </c>
    </row>
    <row r="34" spans="1:3" x14ac:dyDescent="0.3">
      <c r="A34" s="4" t="s">
        <v>197</v>
      </c>
      <c r="B34">
        <v>607006</v>
      </c>
      <c r="C34">
        <v>49.4</v>
      </c>
    </row>
    <row r="35" spans="1:3" x14ac:dyDescent="0.3">
      <c r="A35" s="4" t="s">
        <v>205</v>
      </c>
      <c r="B35">
        <v>593070</v>
      </c>
      <c r="C35">
        <v>51.4</v>
      </c>
    </row>
    <row r="36" spans="1:3" x14ac:dyDescent="0.3">
      <c r="A36" s="4" t="s">
        <v>66</v>
      </c>
      <c r="B36">
        <v>508464</v>
      </c>
      <c r="C36">
        <v>-29.5</v>
      </c>
    </row>
    <row r="37" spans="1:3" x14ac:dyDescent="0.3">
      <c r="A37" s="4" t="s">
        <v>166</v>
      </c>
      <c r="B37">
        <v>448640</v>
      </c>
      <c r="C37">
        <v>0</v>
      </c>
    </row>
    <row r="38" spans="1:3" x14ac:dyDescent="0.3">
      <c r="A38" s="4" t="s">
        <v>201</v>
      </c>
      <c r="B38">
        <v>421173</v>
      </c>
      <c r="C38">
        <v>37.9</v>
      </c>
    </row>
    <row r="39" spans="1:3" x14ac:dyDescent="0.3">
      <c r="A39" s="4" t="s">
        <v>192</v>
      </c>
      <c r="B39">
        <v>351087</v>
      </c>
      <c r="C39">
        <v>29</v>
      </c>
    </row>
    <row r="40" spans="1:3" x14ac:dyDescent="0.3">
      <c r="A40" s="4" t="s">
        <v>200</v>
      </c>
      <c r="B40">
        <v>335649</v>
      </c>
      <c r="C40">
        <v>0</v>
      </c>
    </row>
    <row r="41" spans="1:3" x14ac:dyDescent="0.3">
      <c r="A41" s="4" t="s">
        <v>203</v>
      </c>
      <c r="B41">
        <v>275241</v>
      </c>
      <c r="C41">
        <v>52.7</v>
      </c>
    </row>
    <row r="42" spans="1:3" x14ac:dyDescent="0.3">
      <c r="A42" s="4" t="s">
        <v>199</v>
      </c>
      <c r="B42">
        <v>274909</v>
      </c>
      <c r="C42">
        <v>98.5</v>
      </c>
    </row>
    <row r="43" spans="1:3" x14ac:dyDescent="0.3">
      <c r="A43" s="4" t="s">
        <v>196</v>
      </c>
      <c r="B43">
        <v>272773</v>
      </c>
      <c r="C43">
        <v>4.5999999999999996</v>
      </c>
    </row>
    <row r="44" spans="1:3" x14ac:dyDescent="0.3">
      <c r="A44" s="4" t="s">
        <v>98</v>
      </c>
      <c r="B44">
        <v>88805</v>
      </c>
      <c r="C44">
        <v>-43.5</v>
      </c>
    </row>
    <row r="45" spans="1:3" x14ac:dyDescent="0.3">
      <c r="A45" s="4" t="s">
        <v>206</v>
      </c>
      <c r="B45">
        <v>79709</v>
      </c>
      <c r="C45">
        <v>-37.200000000000003</v>
      </c>
    </row>
    <row r="46" spans="1:3" x14ac:dyDescent="0.3">
      <c r="A46" s="4" t="s">
        <v>104</v>
      </c>
      <c r="B46">
        <v>39710</v>
      </c>
      <c r="C46">
        <v>-45.3</v>
      </c>
    </row>
    <row r="47" spans="1:3" x14ac:dyDescent="0.3">
      <c r="A47" s="4" t="s">
        <v>144</v>
      </c>
      <c r="B47">
        <v>36556</v>
      </c>
      <c r="C47">
        <v>2.2999999999999998</v>
      </c>
    </row>
    <row r="48" spans="1:3" x14ac:dyDescent="0.3">
      <c r="A48" s="4" t="s">
        <v>204</v>
      </c>
      <c r="B48">
        <v>23708</v>
      </c>
      <c r="C48">
        <v>80.099999999999994</v>
      </c>
    </row>
    <row r="49" spans="1:3" x14ac:dyDescent="0.3">
      <c r="A49" s="4" t="s">
        <v>202</v>
      </c>
      <c r="B49">
        <v>7374</v>
      </c>
      <c r="C49">
        <v>-49.4</v>
      </c>
    </row>
    <row r="50" spans="1:3" x14ac:dyDescent="0.3">
      <c r="A50" s="4" t="s">
        <v>106</v>
      </c>
      <c r="B50">
        <v>898</v>
      </c>
      <c r="C50">
        <v>-91.8</v>
      </c>
    </row>
    <row r="51" spans="1:3" x14ac:dyDescent="0.3">
      <c r="A51" s="4" t="s">
        <v>100</v>
      </c>
      <c r="B51">
        <v>676</v>
      </c>
      <c r="C51">
        <v>0</v>
      </c>
    </row>
    <row r="52" spans="1:3" x14ac:dyDescent="0.3">
      <c r="A52" s="4" t="s">
        <v>208</v>
      </c>
      <c r="B52">
        <v>180005428</v>
      </c>
      <c r="C52">
        <v>59.124999999999993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DASHBOARD</vt:lpstr>
      <vt:lpstr>Outpatients</vt:lpstr>
      <vt:lpstr>Outpatient Pivot Chart</vt:lpstr>
      <vt:lpstr>Inpatients</vt:lpstr>
      <vt:lpstr>Inpatient Pivot Chart</vt:lpstr>
      <vt:lpstr>Surgeries</vt:lpstr>
      <vt:lpstr>Surgeries Pivot Chart</vt:lpstr>
      <vt:lpstr>Lab_Investigations</vt:lpstr>
      <vt:lpstr>Lab_Investigations Pivot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Manisha Poddar</cp:lastModifiedBy>
  <dcterms:created xsi:type="dcterms:W3CDTF">2026-04-23T15:24:07Z</dcterms:created>
  <dcterms:modified xsi:type="dcterms:W3CDTF">2026-04-25T09:55:03Z</dcterms:modified>
</cp:coreProperties>
</file>